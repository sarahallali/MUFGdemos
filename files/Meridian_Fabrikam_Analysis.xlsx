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bookViews>
    <workbookView xWindow="0" yWindow="0" windowWidth="0" windowHeight="0" xr2:uid="{00000000-000D-0000-FFFF-FFFF00000000}"/>
  </bookViews>
  <sheets>
    <sheet name="Fabrikam_Financials" sheetId="1" r:id="rId1"/>
    <sheet name="Contoso_Financials" sheetId="2" r:id="rId2"/>
    <sheet name="Pro_Forma" sheetId="3" r:id="rId3"/>
    <sheet name="Hold_Scenarios" sheetId="4" r:id="rId4"/>
    <sheet name="Assumptions_Notes" sheetId="5" r:id="rId5"/>
  </sheets>
  <definedNames>
    <definedName name="Cash_Mgmt_Revenue">Hold_Scenarios!$B$27</definedName>
    <definedName name="Commitment_Fee_pct">Hold_Scenarios!$B$18</definedName>
    <definedName name="Covenant_Leverage_Max">Pro_Forma!$B$16</definedName>
    <definedName name="Covenant_Leverage_Max_Y3">Pro_Forma!$B$17</definedName>
    <definedName name="EAD_Undrawn_pct">Hold_Scenarios!$B$23</definedName>
    <definedName name="Fabrikam_Existing">Hold_Scenarios!$B$11</definedName>
    <definedName name="Hedging_Min_Hold">Hold_Scenarios!$B$26</definedName>
    <definedName name="Hedging_Revenue_Coordinator">Hold_Scenarios!$B$24</definedName>
    <definedName name="Hedging_Revenue_Shared">Hold_Scenarios!$B$25</definedName>
    <definedName name="Industrials_Commitments">Hold_Scenarios!$B$7</definedName>
    <definedName name="Industrials_EW_pct">Hold_Scenarios!$B$13</definedName>
    <definedName name="Industrials_Limit_pct">Hold_Scenarios!$B$12</definedName>
    <definedName name="PF_EBITDA">Pro_Forma!$B$14</definedName>
    <definedName name="PF_Net_Debt">Pro_Forma!$B$11</definedName>
    <definedName name="Pipeline_Industrials">Hold_Scenarios!$B$10</definedName>
    <definedName name="Pipeline_Total">Hold_Scenarios!$B$9</definedName>
    <definedName name="RCF_Margin_pct">Hold_Scenarios!$B$17</definedName>
    <definedName name="RCF_Utilisation_pct">Hold_Scenarios!$B$19</definedName>
    <definedName name="Risk_Weight_pct">Hold_Scenarios!$B$22</definedName>
    <definedName name="RoRWA_Hurdle_pct">Hold_Scenarios!$B$28</definedName>
    <definedName name="Single_Name_Limit">Hold_Scenarios!$B$14</definedName>
    <definedName name="TLA_Margin_pct">Hold_Scenarios!$B$16</definedName>
    <definedName name="TLA_Share_pct">Hold_Scenarios!$B$15</definedName>
    <definedName name="Total_Commitments">Hold_Scenarios!$B$8</definedName>
    <definedName name="Upfront_Fee_pct">Hold_Scenarios!$B$20</definedName>
    <definedName name="Upfront_Fee_Years">Hold_Scenarios!$B$21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" i="4" l="1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J36" i="3"/>
  <c r="I36" i="3"/>
  <c r="H36" i="3"/>
  <c r="G36" i="3"/>
  <c r="E36" i="3"/>
  <c r="J35" i="3"/>
  <c r="I35" i="3"/>
  <c r="H35" i="3"/>
  <c r="G35" i="3"/>
  <c r="E35" i="3"/>
  <c r="J34" i="3"/>
  <c r="I34" i="3"/>
  <c r="H34" i="3"/>
  <c r="G34" i="3"/>
  <c r="E34" i="3"/>
  <c r="J33" i="3"/>
  <c r="I33" i="3"/>
  <c r="H33" i="3"/>
  <c r="E33" i="3"/>
  <c r="G33" i="3"/>
  <c r="C33" i="3"/>
  <c r="B33" i="3"/>
  <c r="B28" i="3"/>
  <c r="B27" i="3"/>
  <c r="B26" i="3"/>
  <c r="B22" i="3"/>
  <c r="B19" i="3"/>
  <c r="B18" i="3"/>
  <c r="B15" i="3"/>
  <c r="B14" i="3"/>
  <c r="B13" i="3"/>
  <c r="B12" i="3"/>
  <c r="B11" i="3"/>
  <c r="B7" i="3"/>
  <c r="D9" i="2"/>
  <c r="C9" i="2"/>
  <c r="B9" i="2"/>
  <c r="D13" i="1"/>
  <c r="D12" i="1"/>
  <c r="C13" i="1"/>
  <c r="C12" i="1"/>
  <c r="B13" i="1"/>
  <c r="B12" i="1"/>
</calcChain>
</file>

<file path=xl/sharedStrings.xml><?xml version="1.0" encoding="utf-8"?>
<sst xmlns="http://schemas.openxmlformats.org/spreadsheetml/2006/main" count="254" uniqueCount="210">
  <si>
    <t>Fabrikam Industries – key financials (EUR m)</t>
  </si>
  <si>
    <t>FICTIONAL – FOR TRAINING USE ONLY</t>
  </si>
  <si>
    <t>Prepared by Sander de Vries  |  v1.0  |  21 October 2026  |  EUR millions  |  Fiscal year April–March (FY2025 = April 2025 – March 2026)  |  Source: Fabrikam audited FY2025 accounts  |  Blue = input, black = formula</t>
  </si>
  <si>
    <t>Metric</t>
  </si>
  <si>
    <t>FY2023</t>
  </si>
  <si>
    <t>FY2024</t>
  </si>
  <si>
    <t>FY2025</t>
  </si>
  <si>
    <t>Revenue</t>
  </si>
  <si>
    <t>EBITDA</t>
  </si>
  <si>
    <t>Net debt</t>
  </si>
  <si>
    <t>Cash and equivalents</t>
  </si>
  <si>
    <t>Interest expense</t>
  </si>
  <si>
    <t>Free cash flow</t>
  </si>
  <si>
    <t>EBITDA margin (%)</t>
  </si>
  <si>
    <t>Net leverage (x)</t>
  </si>
  <si>
    <t>Contoso Energy Materials – key financials (EUR m)</t>
  </si>
  <si>
    <t>Target company  |  Calendar years  |  EUR millions  |  Source: Contoso 2025 audited accounts  |  Blue = input, black = formula</t>
  </si>
  <si>
    <t>Y2023</t>
  </si>
  <si>
    <t>Y2024</t>
  </si>
  <si>
    <t>Y2025</t>
  </si>
  <si>
    <t>Pro-forma leverage and covenant analysis – Fabrikam + Contoso (EUR m)</t>
  </si>
  <si>
    <t>Basis: Fabrikam FY2025 audited + Contoso 2025 audited  |  EUR millions  |  Blue = input, green = link to another sheet, black = formula</t>
  </si>
  <si>
    <t>A. Pro-forma position at closing (FY2025 basis)</t>
  </si>
  <si>
    <t>Item</t>
  </si>
  <si>
    <t>Value</t>
  </si>
  <si>
    <t>Source / note</t>
  </si>
  <si>
    <t>Fabrikam net debt, FY2025 (EUR m)</t>
  </si>
  <si>
    <t>Fabrikam_Financials (audited FY2025)</t>
  </si>
  <si>
    <t>Term Loan A, drawn at closing (EUR m)</t>
  </si>
  <si>
    <t>Financing request: Term Loan A, 5 years</t>
  </si>
  <si>
    <t>Existing cash used for the acquisition (EUR m)</t>
  </si>
  <si>
    <t>Paid from Fabrikam's existing cash</t>
  </si>
  <si>
    <t>Transaction costs (EUR m)</t>
  </si>
  <si>
    <t>Paid at closing</t>
  </si>
  <si>
    <t>Pro-forma net debt at closing (EUR m)</t>
  </si>
  <si>
    <t>Net debt + Term Loan A + cash used + costs</t>
  </si>
  <si>
    <t>Fabrikam EBITDA, FY2025 (EUR m)</t>
  </si>
  <si>
    <t>Contoso EBITDA, 2025 (EUR m)</t>
  </si>
  <si>
    <t>Contoso_Financials (audited 2025)</t>
  </si>
  <si>
    <t>Pro-forma EBITDA, FY2025 basis (EUR m)</t>
  </si>
  <si>
    <t>No synergies at closing</t>
  </si>
  <si>
    <t>Pro-forma net leverage (x)</t>
  </si>
  <si>
    <t>Net debt ÷ EBITDA</t>
  </si>
  <si>
    <t>Net leverage covenant, maximum (x)</t>
  </si>
  <si>
    <t>Proposed covenant</t>
  </si>
  <si>
    <t>Net leverage covenant from Year 3, maximum (x)</t>
  </si>
  <si>
    <t>Proposed step-down</t>
  </si>
  <si>
    <t>EBITDA headroom at closing (%)</t>
  </si>
  <si>
    <t>How far EBITDA could fall before the covenant is breached</t>
  </si>
  <si>
    <t>Fabrikam interest expense, FY2025 (EUR m)</t>
  </si>
  <si>
    <t>3-month EURIBOR assumption (%)</t>
  </si>
  <si>
    <t>Assumption</t>
  </si>
  <si>
    <t>Term Loan A margin (%)</t>
  </si>
  <si>
    <t>135 bps over EURIBOR (proposed)</t>
  </si>
  <si>
    <t>Term Loan A interest (EUR m)</t>
  </si>
  <si>
    <t>Term Loan A × (EURIBOR + margin)</t>
  </si>
  <si>
    <t>RCF commitment, undrawn at closing (EUR m)</t>
  </si>
  <si>
    <t>Revolving credit facility, 5 years</t>
  </si>
  <si>
    <t>RCF margin (%)</t>
  </si>
  <si>
    <t>110 bps (proposed)</t>
  </si>
  <si>
    <t>Commitment fee on undrawn RCF (% of margin)</t>
  </si>
  <si>
    <t>35% of the RCF margin</t>
  </si>
  <si>
    <t>RCF commitment fee (EUR m)</t>
  </si>
  <si>
    <t>RCF × margin × commitment fee share</t>
  </si>
  <si>
    <t>Pro-forma interest expense (EUR m)</t>
  </si>
  <si>
    <t>Existing interest + Term Loan A interest + RCF fee</t>
  </si>
  <si>
    <t>Pro-forma interest cover (x)</t>
  </si>
  <si>
    <t>EBITDA ÷ interest</t>
  </si>
  <si>
    <t>Interest cover covenant, minimum (x)</t>
  </si>
  <si>
    <t>B. Deleveraging projection after closing (EUR m)</t>
  </si>
  <si>
    <t>Period</t>
  </si>
  <si>
    <t>Fabrikam_EBITDA</t>
  </si>
  <si>
    <t>Contoso_EBITDA</t>
  </si>
  <si>
    <t>Synergies</t>
  </si>
  <si>
    <t>Combined_EBITDA</t>
  </si>
  <si>
    <t>Free_Cash_Flow_after_dividends</t>
  </si>
  <si>
    <t>Net_Debt</t>
  </si>
  <si>
    <t>Net_Leverage_x</t>
  </si>
  <si>
    <t>Covenant_Max_x</t>
  </si>
  <si>
    <t>EBITDA_Headroom_pct</t>
  </si>
  <si>
    <t>Pro-forma at closing (FY2025 basis)</t>
  </si>
  <si>
    <t>Year 1 after closing</t>
  </si>
  <si>
    <t>Year 2 after closing</t>
  </si>
  <si>
    <t>Year 3 after closing</t>
  </si>
  <si>
    <t>C. Sensitivity: pro-forma leverage if EBITDA is lower (closing net debt unchanged)</t>
  </si>
  <si>
    <t>EBITDA_Change_pct</t>
  </si>
  <si>
    <t>Within_Covenant</t>
  </si>
  <si>
    <t>Project Meridian – MUFG final hold scenarios (EUR m)</t>
  </si>
  <si>
    <t>Inputs in blue; every scenario column is a live formula  |  Percentages in percentage points (14.90 = 14.90%)  |  Source: Q3 2026 portfolio extract (after data-quality fixes) and proposed indicative pricing</t>
  </si>
  <si>
    <t>Inputs</t>
  </si>
  <si>
    <t>Input</t>
  </si>
  <si>
    <t>Unit</t>
  </si>
  <si>
    <t>Industrials commitments</t>
  </si>
  <si>
    <t>EUR m</t>
  </si>
  <si>
    <t>Q3 2026 portfolio, after data-quality fixes</t>
  </si>
  <si>
    <t>Total portfolio commitments</t>
  </si>
  <si>
    <t>Pipeline (≥70%) – total</t>
  </si>
  <si>
    <t>High-probability pipeline (probability 70% or more), excluding Project Meridian</t>
  </si>
  <si>
    <t>Pipeline (≥70%) – Industrials</t>
  </si>
  <si>
    <t>Project Atlas €160m + Project Fjord €120m</t>
  </si>
  <si>
    <t>Fabrikam existing exposure</t>
  </si>
  <si>
    <t>Fabrikam Europe GmbH RCF €150m + Fabrikam Middle East FZE trade finance €40m</t>
  </si>
  <si>
    <t>Industrials limit</t>
  </si>
  <si>
    <t>% of commitments</t>
  </si>
  <si>
    <t>Sector concentration limit</t>
  </si>
  <si>
    <t>Industrials early warning</t>
  </si>
  <si>
    <t>Early-warning level</t>
  </si>
  <si>
    <t>Single-name group limit</t>
  </si>
  <si>
    <t>Maximum exposure to one client group (BBB band)</t>
  </si>
  <si>
    <t>TLA share of hold</t>
  </si>
  <si>
    <t>% of hold</t>
  </si>
  <si>
    <t>The rest of the hold is the RCF</t>
  </si>
  <si>
    <t>TLA margin</t>
  </si>
  <si>
    <t>% p.a.</t>
  </si>
  <si>
    <t>135 bps (proposed indicative pricing)</t>
  </si>
  <si>
    <t>RCF margin</t>
  </si>
  <si>
    <t>110 bps (proposed indicative pricing)</t>
  </si>
  <si>
    <t>Commitment fee</t>
  </si>
  <si>
    <t>% of margin</t>
  </si>
  <si>
    <t>Paid on the undrawn part of the RCF</t>
  </si>
  <si>
    <t>RCF average utilisation</t>
  </si>
  <si>
    <t>% drawn</t>
  </si>
  <si>
    <t>Average share of the RCF drawn</t>
  </si>
  <si>
    <t>Upfront fee</t>
  </si>
  <si>
    <t>60 bps on MUFG's final hold</t>
  </si>
  <si>
    <t>Upfront fee amortised over</t>
  </si>
  <si>
    <t>years</t>
  </si>
  <si>
    <t>Spread evenly over the 5-year tenor</t>
  </si>
  <si>
    <t>Risk weight</t>
  </si>
  <si>
    <t>% of EAD</t>
  </si>
  <si>
    <t>BBB- pro-forma internal rating</t>
  </si>
  <si>
    <t>Undrawn amount counted in EAD</t>
  </si>
  <si>
    <t>% of undrawn</t>
  </si>
  <si>
    <t>EAD (exposure at default) = drawn + 50% of undrawn</t>
  </si>
  <si>
    <t>Hedging revenue – coordinator</t>
  </si>
  <si>
    <t>EUR m p.a.</t>
  </si>
  <si>
    <t>If MUFG is hedging coordinator</t>
  </si>
  <si>
    <t>Hedging revenue – shared</t>
  </si>
  <si>
    <t>If hedging coordination is shared</t>
  </si>
  <si>
    <t>Minimum hold for hedging coordinator</t>
  </si>
  <si>
    <t>Client awards coordination to arrangers holding €250m or more</t>
  </si>
  <si>
    <t>Cash-management revenue</t>
  </si>
  <si>
    <t>Netherlands, France and UAE cash management</t>
  </si>
  <si>
    <t>RoRWA hurdle</t>
  </si>
  <si>
    <t>%</t>
  </si>
  <si>
    <t>New-business hurdle (return on RWA)</t>
  </si>
  <si>
    <t>Hold scenarios (one row per final hold option)</t>
  </si>
  <si>
    <t>Final_Hold_EURm</t>
  </si>
  <si>
    <t>TLA_Share_EURm</t>
  </si>
  <si>
    <t>RCF_Share_EURm</t>
  </si>
  <si>
    <t>Industrials_Share_After_Hold_pct</t>
  </si>
  <si>
    <t>Industrials_Share_With_Pipeline_pct</t>
  </si>
  <si>
    <t>Fabrikam_Group_Exposure_EURm</t>
  </si>
  <si>
    <t>Single_Name_Limit_EURm</t>
  </si>
  <si>
    <t>Single_Name_Usage_pct</t>
  </si>
  <si>
    <t>Loan_Revenue_EURm</t>
  </si>
  <si>
    <t>Hedging_Revenue_EURm</t>
  </si>
  <si>
    <t>Cash_Management_Revenue_EURm</t>
  </si>
  <si>
    <t>Total_Relationship_Revenue_EURm</t>
  </si>
  <si>
    <t>RWA_EURm</t>
  </si>
  <si>
    <t>RoRWA_Loan_Only_pct</t>
  </si>
  <si>
    <t>RoRWA_With_Cash_Mgmt_pct</t>
  </si>
  <si>
    <t>RoRWA_All_Ancillary_pct</t>
  </si>
  <si>
    <t>Hurdle_pct</t>
  </si>
  <si>
    <t>Assumptions and notes – Fabrikam Financial Analysis</t>
  </si>
  <si>
    <t>Details</t>
  </si>
  <si>
    <t>Used in</t>
  </si>
  <si>
    <t>Prepared by</t>
  </si>
  <si>
    <t>Sander de Vries, Associate, Corporate Banking Financial Analyst, MUFG EMEA (Amsterdam)</t>
  </si>
  <si>
    <t>—</t>
  </si>
  <si>
    <t>Version and date</t>
  </si>
  <si>
    <t>v1.0 – Wednesday 21 October 2026</t>
  </si>
  <si>
    <t>Units</t>
  </si>
  <si>
    <t>EUR millions unless stated otherwise. Percentages are stored as percentage points (14.90 = 14.90%); ratios are shown in times (x).</t>
  </si>
  <si>
    <t>All sheets</t>
  </si>
  <si>
    <t>Fiscal years</t>
  </si>
  <si>
    <t>Fabrikam: fiscal year April–March (FY2025 = April 2025 – March 2026). Contoso: calendar years.</t>
  </si>
  <si>
    <t>Fabrikam_Financials, Contoso_Financials, Pro_Forma</t>
  </si>
  <si>
    <t>Colour code</t>
  </si>
  <si>
    <t>Blue font = input (a hard-coded value you can change); black = formula; green = link to another sheet.</t>
  </si>
  <si>
    <t>Sources</t>
  </si>
  <si>
    <t>Fabrikam audited FY2025 accounts; Contoso 2025 audited accounts; Q3 2026 portfolio extract.</t>
  </si>
  <si>
    <t>Acquisition and funding</t>
  </si>
  <si>
    <t>Acquisition of 100% of Contoso Energy Materials B.V. (enterprise value €1,200m), funded by Term Loan A €600m (drawn at closing) and €600m of Fabrikam's existing cash; RCF €200m undrawn at closing; transaction costs €20m.</t>
  </si>
  <si>
    <t>Pro_Forma</t>
  </si>
  <si>
    <t>Pro-forma EBITDA</t>
  </si>
  <si>
    <t>FY2025 basis: Fabrikam FY2025 EBITDA plus Contoso 2025 EBITDA; no synergies at closing.</t>
  </si>
  <si>
    <t>Pro-forma interest</t>
  </si>
  <si>
    <t>Fabrikam FY2025 interest expense plus Term Loan A at the 3-month EURIBOR assumption of 2.10% plus the 1.35% margin, plus the commitment fee on the undrawn RCF (35% of the 1.10% margin).</t>
  </si>
  <si>
    <t>Covenants (proposed)</t>
  </si>
  <si>
    <t>Net leverage (net debt ÷ EBITDA) at most 3.25x, stepping down to 3.00x from Year 3; interest cover (EBITDA ÷ interest) at least 4.0x. EBITDA headroom = 1 − (net leverage ÷ covenant maximum): how far EBITDA could fall before the covenant is breached.</t>
  </si>
  <si>
    <t>Projection</t>
  </si>
  <si>
    <t>Year 1–3 EBITDA, synergies and free cash flow after dividends are analyst projections; net debt falls each year by the free cash flow after dividends.</t>
  </si>
  <si>
    <t>Sensitivity</t>
  </si>
  <si>
    <t>Pro-forma EBITDA reduced by 10%, 15% and 20% with closing net debt unchanged, compared with the 3.25x covenant.</t>
  </si>
  <si>
    <t>Portfolio inputs</t>
  </si>
  <si>
    <t>Industrials commitments €3,755m and total portfolio commitments €27,600m (Q3 2026 portfolio extract, after data-quality fixes). High-probability pipeline (probability 70% or more, excluding Project Meridian) €900m, of which Industrials €280m (Project Atlas €160m + Project Fjord €120m).</t>
  </si>
  <si>
    <t>Hold_Scenarios</t>
  </si>
  <si>
    <t>Limits and existing exposure</t>
  </si>
  <si>
    <t>Industrials concentration limit 15% of total commitments, early warning 13.5%. Single-name (group) limit €500m (BBB band). Fabrikam group existing exposure €190m.</t>
  </si>
  <si>
    <t>Hold structure and pricing</t>
  </si>
  <si>
    <t>Final hold split 75% Term Loan A / 25% RCF. TLA margin 1.35%; RCF margin 1.10%; commitment fee 35% of the margin on the undrawn RCF; RCF 30% drawn on average; upfront fee 0.60% of the final hold, amortised over 5 years.</t>
  </si>
  <si>
    <t>Capital</t>
  </si>
  <si>
    <t>Risk weight 70% (BBB- pro-forma rating). EAD (exposure at default) = drawn + 50% of undrawn. RWA = EAD × risk weight.</t>
  </si>
  <si>
    <t>Ancillary revenue</t>
  </si>
  <si>
    <t>Hedging revenue €1.5m a year if MUFG is hedging coordinator (the client will award coordination to arrangers holding €250m or more), otherwise €0.9m a year; cash management €0.4m a year.</t>
  </si>
  <si>
    <t>Returns</t>
  </si>
  <si>
    <t>RoRWA (return on RWA) = annual revenue ÷ RWA, compared with the 2.5% new-business hurdle.</t>
  </si>
  <si>
    <t>Disclaimer</t>
  </si>
  <si>
    <t>FICTIONAL – FOR TRAINING USE ONLY. All companies, people and figures are fictional and were created for MUFG EMEA Microsoft 365 Copilot training. Not for business decisions.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</si>
</sst>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&quot;x&quot;"/>
    <numFmt numFmtId="166" formatCode="#,##0.0"/>
    <numFmt numFmtId="167" formatCode="0.0&quot;x&quot;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4"/>
      <color rgb="FF1F3864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rgb="FF595959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rgb="FF1F3864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EF1F8"/>
        <bgColor indexed="64"/>
      </patternFill>
    </fill>
    <fill>
      <patternFill patternType="solid">
        <fgColor rgb="FFDCE3F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 vertical="center"/>
    </xf>
    <xf numFmtId="3" fontId="8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9" fillId="0" borderId="0" xfId="0" applyFont="1"/>
    <xf numFmtId="164" fontId="9" fillId="0" borderId="0" xfId="0" applyNumberFormat="1" applyFont="1"/>
    <xf numFmtId="165" fontId="9" fillId="0" borderId="0" xfId="0" applyNumberFormat="1" applyFont="1"/>
    <xf numFmtId="0" fontId="10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3" borderId="4" xfId="0" applyFill="1" applyBorder="1"/>
    <xf numFmtId="3" fontId="11" fillId="0" borderId="1" xfId="0" applyNumberFormat="1" applyFont="1" applyBorder="1"/>
    <xf numFmtId="3" fontId="8" fillId="3" borderId="0" xfId="0" applyNumberFormat="1" applyFont="1" applyFill="1" applyBorder="1"/>
    <xf numFmtId="3" fontId="8" fillId="0" borderId="0" xfId="0" applyNumberFormat="1" applyFont="1" applyBorder="1"/>
    <xf numFmtId="3" fontId="1" fillId="0" borderId="0" xfId="0" applyNumberFormat="1" applyFont="1" applyBorder="1"/>
    <xf numFmtId="3" fontId="11" fillId="3" borderId="0" xfId="0" applyNumberFormat="1" applyFont="1" applyFill="1" applyBorder="1"/>
    <xf numFmtId="3" fontId="11" fillId="0" borderId="0" xfId="0" applyNumberFormat="1" applyFont="1" applyBorder="1"/>
    <xf numFmtId="3" fontId="1" fillId="3" borderId="0" xfId="0" applyNumberFormat="1" applyFont="1" applyFill="1" applyBorder="1"/>
    <xf numFmtId="165" fontId="1" fillId="4" borderId="0" xfId="0" applyNumberFormat="1" applyFont="1" applyFill="1" applyBorder="1"/>
    <xf numFmtId="165" fontId="8" fillId="3" borderId="0" xfId="0" applyNumberFormat="1" applyFont="1" applyFill="1" applyBorder="1"/>
    <xf numFmtId="165" fontId="8" fillId="0" borderId="0" xfId="0" applyNumberFormat="1" applyFont="1" applyBorder="1"/>
    <xf numFmtId="164" fontId="1" fillId="4" borderId="0" xfId="0" applyNumberFormat="1" applyFont="1" applyFill="1" applyBorder="1"/>
    <xf numFmtId="166" fontId="11" fillId="0" borderId="0" xfId="0" applyNumberFormat="1" applyFont="1" applyBorder="1"/>
    <xf numFmtId="2" fontId="8" fillId="3" borderId="0" xfId="0" applyNumberFormat="1" applyFont="1" applyFill="1" applyBorder="1"/>
    <xf numFmtId="2" fontId="8" fillId="0" borderId="0" xfId="0" applyNumberFormat="1" applyFont="1" applyBorder="1"/>
    <xf numFmtId="4" fontId="1" fillId="3" borderId="0" xfId="0" applyNumberFormat="1" applyFont="1" applyFill="1" applyBorder="1"/>
    <xf numFmtId="1" fontId="8" fillId="0" borderId="0" xfId="0" applyNumberFormat="1" applyFont="1" applyBorder="1"/>
    <xf numFmtId="166" fontId="1" fillId="0" borderId="0" xfId="0" applyNumberFormat="1" applyFont="1" applyBorder="1"/>
    <xf numFmtId="167" fontId="1" fillId="4" borderId="0" xfId="0" applyNumberFormat="1" applyFont="1" applyFill="1" applyBorder="1"/>
    <xf numFmtId="167" fontId="8" fillId="0" borderId="2" xfId="0" applyNumberFormat="1" applyFont="1" applyBorder="1"/>
    <xf numFmtId="0" fontId="5" fillId="0" borderId="6" xfId="0" applyFont="1" applyBorder="1"/>
    <xf numFmtId="0" fontId="5" fillId="3" borderId="7" xfId="0" applyFont="1" applyFill="1" applyBorder="1"/>
    <xf numFmtId="0" fontId="5" fillId="0" borderId="7" xfId="0" applyFont="1" applyBorder="1"/>
    <xf numFmtId="0" fontId="5" fillId="0" borderId="8" xfId="0" applyFont="1" applyBorder="1"/>
    <xf numFmtId="3" fontId="0" fillId="0" borderId="0" xfId="0" applyNumberFormat="1"/>
    <xf numFmtId="1" fontId="8" fillId="0" borderId="0" xfId="0" applyNumberFormat="1" applyFont="1" applyAlignment="1">
      <alignment horizontal="center"/>
    </xf>
    <xf numFmtId="166" fontId="0" fillId="0" borderId="0" xfId="0" applyNumberFormat="1"/>
    <xf numFmtId="0" fontId="0" fillId="0" borderId="0" xfId="0" applyAlignment="1">
      <alignment horizontal="center"/>
    </xf>
    <xf numFmtId="0" fontId="0" fillId="3" borderId="5" xfId="0" applyFill="1" applyBorder="1"/>
    <xf numFmtId="3" fontId="8" fillId="0" borderId="1" xfId="0" applyNumberFormat="1" applyFont="1" applyBorder="1"/>
    <xf numFmtId="164" fontId="8" fillId="3" borderId="0" xfId="0" applyNumberFormat="1" applyFont="1" applyFill="1" applyBorder="1"/>
    <xf numFmtId="164" fontId="8" fillId="0" borderId="0" xfId="0" applyNumberFormat="1" applyFont="1" applyBorder="1"/>
    <xf numFmtId="2" fontId="8" fillId="3" borderId="2" xfId="0" applyNumberFormat="1" applyFont="1" applyFill="1" applyBorder="1"/>
    <xf numFmtId="0" fontId="5" fillId="3" borderId="8" xfId="0" applyFont="1" applyFill="1" applyBorder="1"/>
    <xf numFmtId="0" fontId="0" fillId="0" borderId="1" xfId="0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3" borderId="2" xfId="0" applyFill="1" applyBorder="1" applyAlignment="1">
      <alignment horizontal="center"/>
    </xf>
    <xf numFmtId="3" fontId="12" fillId="0" borderId="0" xfId="0" applyNumberFormat="1" applyFont="1"/>
    <xf numFmtId="2" fontId="0" fillId="0" borderId="0" xfId="0" applyNumberFormat="1"/>
    <xf numFmtId="0" fontId="13" fillId="0" borderId="0" xfId="0" applyFont="1"/>
    <xf numFmtId="0" fontId="0" fillId="0" borderId="0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0" fillId="3" borderId="0" xfId="0" applyFill="1" applyBorder="1" applyAlignment="1">
      <alignment vertical="top" wrapText="1"/>
    </xf>
    <xf numFmtId="0" fontId="0" fillId="3" borderId="7" xfId="0" applyFill="1" applyBorder="1" applyAlignment="1">
      <alignment vertical="top" wrapText="1"/>
    </xf>
  </cellXfs>
  <cellStyles count="1">
    <cellStyle name="Normal" xfId="0" builtinId="0"/>
  </cellStyles>
  <dxfs count="3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6" formatCode="#,##0.0"/>
    </dxf>
    <dxf>
      <numFmt numFmtId="2" formatCode="0.00"/>
    </dxf>
    <dxf>
      <numFmt numFmtId="164" formatCode="0.0"/>
    </dxf>
    <dxf>
      <numFmt numFmtId="164" formatCode="0.0"/>
    </dxf>
    <dxf>
      <numFmt numFmtId="2" formatCode="0.00"/>
    </dxf>
    <dxf>
      <numFmt numFmtId="164" formatCode="0.0"/>
    </dxf>
    <dxf>
      <numFmt numFmtId="3" formatCode="#,##0"/>
    </dxf>
    <dxf>
      <numFmt numFmtId="3" formatCode="#,##0"/>
    </dxf>
    <dxf>
      <numFmt numFmtId="2" formatCode="0.00"/>
    </dxf>
    <dxf>
      <numFmt numFmtId="2" formatCode="0.00"/>
    </dxf>
    <dxf>
      <numFmt numFmtId="166" formatCode="#,##0.0"/>
    </dxf>
    <dxf>
      <numFmt numFmtId="166" formatCode="#,##0.0"/>
    </dxf>
    <dxf>
      <font>
        <b/>
        <color rgb="FF0000FF"/>
      </font>
      <numFmt numFmtId="3" formatCode="#,##0"/>
    </dxf>
    <dxf>
      <font>
        <b/>
        <color rgb="FFFFFFFF"/>
      </font>
      <fill>
        <patternFill patternType="solid">
          <fgColor indexed="64"/>
          <bgColor rgb="FF1F3864"/>
        </patternFill>
      </fill>
      <alignment horizontal="center" vertical="center"/>
    </dxf>
    <dxf>
      <alignment horizontal="center"/>
    </dxf>
    <dxf>
      <numFmt numFmtId="165" formatCode="0.00&quot;x&quot;"/>
    </dxf>
    <dxf>
      <numFmt numFmtId="165" formatCode="0.00&quot;x&quot;"/>
    </dxf>
    <dxf>
      <numFmt numFmtId="166" formatCode="#,##0.0"/>
    </dxf>
    <dxf>
      <font>
        <color rgb="FF0000FF"/>
      </font>
      <numFmt numFmtId="1" formatCode="0"/>
      <alignment horizontal="center"/>
    </dxf>
    <dxf>
      <font>
        <b/>
        <color rgb="FFFFFFFF"/>
      </font>
      <fill>
        <patternFill patternType="solid">
          <fgColor indexed="64"/>
          <bgColor rgb="FF1F3864"/>
        </patternFill>
      </fill>
      <alignment horizontal="center" vertical="center"/>
    </dxf>
    <dxf>
      <numFmt numFmtId="164" formatCode="0.0"/>
    </dxf>
    <dxf>
      <numFmt numFmtId="165" formatCode="0.00&quot;x&quot;"/>
    </dxf>
    <dxf>
      <numFmt numFmtId="165" formatCode="0.00&quot;x&quot;"/>
    </dxf>
    <dxf>
      <numFmt numFmtId="3" formatCode="#,##0"/>
    </dxf>
    <dxf>
      <font>
        <color rgb="FF0000FF"/>
      </font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color rgb="FFFFFFFF"/>
      </font>
      <fill>
        <patternFill patternType="solid">
          <fgColor indexed="64"/>
          <bgColor rgb="FF1F3864"/>
        </patternFill>
      </fill>
      <alignment horizontal="center" vertical="center"/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/>
        <color rgb="FFFFFFFF"/>
      </font>
      <fill>
        <patternFill patternType="solid">
          <fgColor indexed="64"/>
          <bgColor rgb="FF1F3864"/>
        </patternFill>
      </fill>
      <alignment horizontal="center" vertical="center"/>
    </dxf>
    <dxf>
      <font>
        <b/>
        <color rgb="FFFFFFFF"/>
      </font>
      <fill>
        <patternFill patternType="solid">
          <fgColor indexed="64"/>
          <bgColor rgb="FF1F3864"/>
        </patternFill>
      </fill>
      <alignment horizontal="center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3869CD-9F54-4ACB-B2AE-84BC3429FF40}" name="tblFabrikam" displayName="tblFabrikam" ref="A5:D13" totalsRowShown="0" headerRowDxfId="37">
  <autoFilter ref="A5:D13" xr:uid="{1A3869CD-9F54-4ACB-B2AE-84BC3429FF40}"/>
  <tableColumns count="4">
    <tableColumn id="1" xr3:uid="{4BE9DC3C-0C4E-465F-B4E2-176E738FE267}" name="Metric"/>
    <tableColumn id="2" xr3:uid="{5E7293CA-507F-4DFF-97C9-DA648710C28C}" name="FY2023"/>
    <tableColumn id="3" xr3:uid="{A0031FC0-053A-4CDB-A4BA-4321A083279D}" name="FY2024"/>
    <tableColumn id="4" xr3:uid="{2FBCCA97-03C7-45E4-9B4A-C3CC92F8688A}" name="FY202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733B9D-5E83-4F1E-A77C-7B3E7463B3B7}" name="tblContoso" displayName="tblContoso" ref="A5:D9" totalsRowShown="0" headerRowDxfId="36">
  <autoFilter ref="A5:D9" xr:uid="{55733B9D-5E83-4F1E-A77C-7B3E7463B3B7}"/>
  <tableColumns count="4">
    <tableColumn id="1" xr3:uid="{56FD835E-E6F1-4165-A424-060F893D7D99}" name="Metric"/>
    <tableColumn id="2" xr3:uid="{60839177-69F0-46CF-8FFF-0B36057D429A}" name="Y2023"/>
    <tableColumn id="3" xr3:uid="{072445BA-D707-4842-A5AF-0450FE68E927}" name="Y2024"/>
    <tableColumn id="4" xr3:uid="{F9862E3F-8659-44AB-977C-DA0B2FDCDD7B}" name="Y202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C6F9B4-3AA2-4151-8245-461FCB8EFF39}" name="tblProForma" displayName="tblProForma" ref="A32:J36" totalsRowShown="0" headerRowDxfId="33">
  <autoFilter ref="A32:J36" xr:uid="{70C6F9B4-3AA2-4151-8245-461FCB8EFF39}"/>
  <tableColumns count="10">
    <tableColumn id="1" xr3:uid="{E2B5AB82-CB12-4A67-8F49-B0CCBE9A2ADF}" name="Period"/>
    <tableColumn id="2" xr3:uid="{D97FF67B-CD5D-4D2B-9A08-FA2D0572A125}" name="Fabrikam_EBITDA" dataDxfId="32"/>
    <tableColumn id="3" xr3:uid="{2AA0219E-F8A3-4EF8-8F2B-A2000FD2F5E9}" name="Contoso_EBITDA" dataDxfId="31"/>
    <tableColumn id="4" xr3:uid="{0C49C68B-F184-42DA-B6CC-ED3E2CC23878}" name="Synergies" dataDxfId="30"/>
    <tableColumn id="5" xr3:uid="{A954544C-1878-4D4B-8545-585A093E58C0}" name="Combined_EBITDA" dataDxfId="29"/>
    <tableColumn id="6" xr3:uid="{2379E697-F241-4CA0-B8EC-7A7CAE9CF9A9}" name="Free_Cash_Flow_after_dividends" dataDxfId="28"/>
    <tableColumn id="7" xr3:uid="{F43C2F0D-535A-4EB9-B749-2CADC0763274}" name="Net_Debt" dataDxfId="27"/>
    <tableColumn id="8" xr3:uid="{2CDF12B9-2F0F-48A7-8EA1-8433A2153BCE}" name="Net_Leverage_x" dataDxfId="26"/>
    <tableColumn id="9" xr3:uid="{E9D6D75A-6B18-4600-B4D1-9D1FE6E76D2C}" name="Covenant_Max_x" dataDxfId="25"/>
    <tableColumn id="10" xr3:uid="{C6DBDC78-B3B3-4AD7-AF6A-489765C03C8F}" name="EBITDA_Headroom_pct" dataDxfId="2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5312C5-8990-4C41-91A4-475C80051FC4}" name="tblSensitivity" displayName="tblSensitivity" ref="A39:E43" totalsRowShown="0" headerRowDxfId="23">
  <autoFilter ref="A39:E43" xr:uid="{295312C5-8990-4C41-91A4-475C80051FC4}"/>
  <tableColumns count="5">
    <tableColumn id="1" xr3:uid="{3E632E1D-4347-4645-BC53-4DEB500C3A74}" name="EBITDA_Change_pct" dataDxfId="22"/>
    <tableColumn id="2" xr3:uid="{DAED6BF1-454B-48AD-BB6B-68644FC6872E}" name="Combined_EBITDA" dataDxfId="21"/>
    <tableColumn id="3" xr3:uid="{CA1E31E2-443F-46A7-A5D1-64640A81C840}" name="Net_Leverage_x" dataDxfId="20"/>
    <tableColumn id="4" xr3:uid="{FC1F3910-CCDF-4AD7-8716-E76413458CA0}" name="Covenant_Max_x" dataDxfId="19"/>
    <tableColumn id="5" xr3:uid="{B9A4036C-8F97-4490-82F7-C1486D3D4FCF}" name="Within_Covenant" dataDxfId="1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BC645F-F410-468B-8465-DD81575ED8ED}" name="tblHold" displayName="tblHold" ref="A31:Q34" totalsRowShown="0" headerRowDxfId="17">
  <autoFilter ref="A31:Q34" xr:uid="{D5BC645F-F410-468B-8465-DD81575ED8ED}"/>
  <tableColumns count="17">
    <tableColumn id="1" xr3:uid="{44DCE3A0-98D8-4326-AACE-484C863275D9}" name="Final_Hold_EURm" dataDxfId="16"/>
    <tableColumn id="2" xr3:uid="{1529CF61-FF3D-42B4-B0BF-31CC8466F8B2}" name="TLA_Share_EURm" dataDxfId="15">
      <calculatedColumnFormula>A32*TLA_Share_pct/100</calculatedColumnFormula>
    </tableColumn>
    <tableColumn id="3" xr3:uid="{233F5DE3-B452-44BA-8441-ABC71BD7FD5C}" name="RCF_Share_EURm" dataDxfId="14">
      <calculatedColumnFormula>A32-B32</calculatedColumnFormula>
    </tableColumn>
    <tableColumn id="4" xr3:uid="{9308AED6-1896-46E2-A500-B3BB77E9508D}" name="Industrials_Share_After_Hold_pct" dataDxfId="13">
      <calculatedColumnFormula>(Industrials_Commitments+A32)/(Total_Commitments+A32)*100</calculatedColumnFormula>
    </tableColumn>
    <tableColumn id="5" xr3:uid="{A5750725-14A5-4D2F-840F-1EAF5E9B789A}" name="Industrials_Share_With_Pipeline_pct" dataDxfId="12">
      <calculatedColumnFormula>(Industrials_Commitments+Pipeline_Industrials+A32)/(Total_Commitments+Pipeline_Total+A32)*100</calculatedColumnFormula>
    </tableColumn>
    <tableColumn id="6" xr3:uid="{B7135C22-25F7-4477-89C3-64331D681C06}" name="Fabrikam_Group_Exposure_EURm" dataDxfId="11">
      <calculatedColumnFormula>Fabrikam_Existing+A32</calculatedColumnFormula>
    </tableColumn>
    <tableColumn id="7" xr3:uid="{1A3CE003-934F-40C7-8C22-7722B74082A8}" name="Single_Name_Limit_EURm" dataDxfId="10">
      <calculatedColumnFormula>Single_Name_Limit</calculatedColumnFormula>
    </tableColumn>
    <tableColumn id="8" xr3:uid="{CD09BA90-A985-49FF-81A1-E1C549E3B995}" name="Single_Name_Usage_pct" dataDxfId="9">
      <calculatedColumnFormula>F32/G32*100</calculatedColumnFormula>
    </tableColumn>
    <tableColumn id="9" xr3:uid="{4F0A9193-0C53-4D2C-9052-448CCC6867D2}" name="Loan_Revenue_EURm" dataDxfId="8">
      <calculatedColumnFormula>(B32*TLA_Margin_pct+C32*RCF_Utilisation_pct/100*RCF_Margin_pct+C32*(1-RCF_Utilisation_pct/100)*RCF_Margin_pct*Commitment_Fee_pct/100+A32*Upfront_Fee_pct/Upfront_Fee_Years)/100</calculatedColumnFormula>
    </tableColumn>
    <tableColumn id="10" xr3:uid="{A2262708-8925-451D-A308-B578037CADD9}" name="Hedging_Revenue_EURm" dataDxfId="7">
      <calculatedColumnFormula>IF(A32&gt;=Hedging_Min_Hold,Hedging_Revenue_Coordinator,Hedging_Revenue_Shared)</calculatedColumnFormula>
    </tableColumn>
    <tableColumn id="11" xr3:uid="{7AAFE46F-16F9-4094-AEA8-C113FF13D657}" name="Cash_Management_Revenue_EURm" dataDxfId="6">
      <calculatedColumnFormula>Cash_Mgmt_Revenue</calculatedColumnFormula>
    </tableColumn>
    <tableColumn id="12" xr3:uid="{4F6DA4F4-EAC5-4A4F-A4CC-206CF2DC07CC}" name="Total_Relationship_Revenue_EURm" dataDxfId="5">
      <calculatedColumnFormula>I32+J32+K32</calculatedColumnFormula>
    </tableColumn>
    <tableColumn id="13" xr3:uid="{AC73B08E-D744-4593-9A17-98D49BE375FF}" name="RWA_EURm" dataDxfId="4">
      <calculatedColumnFormula>(B32+C32*RCF_Utilisation_pct/100+C32*(1-RCF_Utilisation_pct/100)*EAD_Undrawn_pct/100)*Risk_Weight_pct/100</calculatedColumnFormula>
    </tableColumn>
    <tableColumn id="14" xr3:uid="{947DFCF1-E7E4-4463-B6EC-BB526560F6CC}" name="RoRWA_Loan_Only_pct" dataDxfId="3">
      <calculatedColumnFormula>I32/M32*100</calculatedColumnFormula>
    </tableColumn>
    <tableColumn id="15" xr3:uid="{5B69E691-8A96-4110-AADA-724923864783}" name="RoRWA_With_Cash_Mgmt_pct" dataDxfId="2">
      <calculatedColumnFormula>(I32+K32)/M32*100</calculatedColumnFormula>
    </tableColumn>
    <tableColumn id="16" xr3:uid="{420D1B8C-7CA9-4384-B3D4-F2B479556DBB}" name="RoRWA_All_Ancillary_pct" dataDxfId="1">
      <calculatedColumnFormula>L32/M32*100</calculatedColumnFormula>
    </tableColumn>
    <tableColumn id="17" xr3:uid="{293F4C17-F8BB-4CA3-96BE-E5134F55A257}" name="Hurdle_pct" dataDxfId="0">
      <calculatedColumnFormula>RoRWA_Hurdle_pct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30.7109375" customWidth="1"/>
    <col min="2" max="4" width="14.7109375" customWidth="1"/>
  </cols>
  <sheetData>
    <row r="1" spans="1:4" ht="24" customHeight="1">
      <c r="A1" s="1" t="s">
        <v>0</v>
      </c>
      <c r="B1" s="1"/>
      <c r="C1" s="1"/>
      <c r="D1" s="1"/>
    </row>
    <row r="2" spans="1:4">
      <c r="A2" s="2" t="s">
        <v>1</v>
      </c>
    </row>
    <row r="3" spans="1:4">
      <c r="A3" s="3" t="s">
        <v>2</v>
      </c>
    </row>
    <row r="5" spans="1:4" ht="20.25" customHeight="1">
      <c r="A5" s="4" t="s">
        <v>3</v>
      </c>
      <c r="B5" s="4" t="s">
        <v>4</v>
      </c>
      <c r="C5" s="4" t="s">
        <v>5</v>
      </c>
      <c r="D5" s="4" t="s">
        <v>6</v>
      </c>
    </row>
    <row r="6" spans="1:4">
      <c r="A6" t="s">
        <v>7</v>
      </c>
      <c r="B6" s="5">
        <v>6120</v>
      </c>
      <c r="C6" s="5">
        <v>6580</v>
      </c>
      <c r="D6" s="5">
        <v>7010</v>
      </c>
    </row>
    <row r="7" spans="1:4">
      <c r="A7" t="s">
        <v>8</v>
      </c>
      <c r="B7" s="5">
        <v>790</v>
      </c>
      <c r="C7" s="5">
        <v>860</v>
      </c>
      <c r="D7" s="5">
        <v>930</v>
      </c>
    </row>
    <row r="8" spans="1:4">
      <c r="A8" t="s">
        <v>9</v>
      </c>
      <c r="B8" s="5">
        <v>1420</v>
      </c>
      <c r="C8" s="5">
        <v>1500</v>
      </c>
      <c r="D8" s="5">
        <v>1580</v>
      </c>
    </row>
    <row r="9" spans="1:4">
      <c r="A9" t="s">
        <v>10</v>
      </c>
      <c r="B9" s="5">
        <v>900</v>
      </c>
      <c r="C9" s="5">
        <v>950</v>
      </c>
      <c r="D9" s="5">
        <v>1020</v>
      </c>
    </row>
    <row r="10" spans="1:4">
      <c r="A10" t="s">
        <v>11</v>
      </c>
      <c r="B10" s="5">
        <v>48</v>
      </c>
      <c r="C10" s="5">
        <v>55</v>
      </c>
      <c r="D10" s="5">
        <v>58</v>
      </c>
    </row>
    <row r="11" spans="1:4">
      <c r="A11" t="s">
        <v>12</v>
      </c>
      <c r="B11" s="5">
        <v>310</v>
      </c>
      <c r="C11" s="5">
        <v>345</v>
      </c>
      <c r="D11" s="5">
        <v>380</v>
      </c>
    </row>
    <row r="12" spans="1:4">
      <c r="A12" s="8" t="s">
        <v>13</v>
      </c>
      <c r="B12" s="9">
        <f>B7/B6*100</f>
        <v>12.908496732026146</v>
      </c>
      <c r="C12" s="9">
        <f>C7/C6*100</f>
        <v>13.069908814589665</v>
      </c>
      <c r="D12" s="9">
        <f>D7/D6*100</f>
        <v>13.266761768901569</v>
      </c>
    </row>
    <row r="13" spans="1:4">
      <c r="A13" s="8" t="s">
        <v>14</v>
      </c>
      <c r="B13" s="10">
        <f>B8/B7</f>
        <v>1.7974683544303798</v>
      </c>
      <c r="C13" s="10">
        <f>C8/C7</f>
        <v>1.7441860465116279</v>
      </c>
      <c r="D13" s="10">
        <f>D8/D7</f>
        <v>1.6989247311827957</v>
      </c>
    </row>
  </sheetData>
  <mergeCells count="1">
    <mergeCell ref="A1:D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92904-CDC2-4AEB-99BB-EE355942873F}">
  <dimension ref="A1:D9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30.7109375" customWidth="1"/>
    <col min="2" max="4" width="14.7109375" customWidth="1"/>
  </cols>
  <sheetData>
    <row r="1" spans="1:4" ht="24" customHeight="1">
      <c r="A1" s="1" t="s">
        <v>15</v>
      </c>
      <c r="B1" s="1"/>
      <c r="C1" s="1"/>
      <c r="D1" s="1"/>
    </row>
    <row r="2" spans="1:4">
      <c r="A2" s="2" t="s">
        <v>1</v>
      </c>
    </row>
    <row r="3" spans="1:4">
      <c r="A3" s="3" t="s">
        <v>16</v>
      </c>
    </row>
    <row r="5" spans="1:4" ht="20.25" customHeight="1">
      <c r="A5" s="4" t="s">
        <v>3</v>
      </c>
      <c r="B5" s="4" t="s">
        <v>17</v>
      </c>
      <c r="C5" s="4" t="s">
        <v>18</v>
      </c>
      <c r="D5" s="4" t="s">
        <v>19</v>
      </c>
    </row>
    <row r="6" spans="1:4">
      <c r="A6" t="s">
        <v>7</v>
      </c>
      <c r="B6" s="5">
        <v>620</v>
      </c>
      <c r="C6" s="5">
        <v>705</v>
      </c>
      <c r="D6" s="5">
        <v>790</v>
      </c>
    </row>
    <row r="7" spans="1:4">
      <c r="A7" t="s">
        <v>8</v>
      </c>
      <c r="B7" s="5">
        <v>78</v>
      </c>
      <c r="C7" s="5">
        <v>92</v>
      </c>
      <c r="D7" s="5">
        <v>110</v>
      </c>
    </row>
    <row r="8" spans="1:4">
      <c r="A8" t="s">
        <v>9</v>
      </c>
      <c r="B8" s="5">
        <v>160</v>
      </c>
      <c r="C8" s="5">
        <v>150</v>
      </c>
      <c r="D8" s="5">
        <v>140</v>
      </c>
    </row>
    <row r="9" spans="1:4">
      <c r="A9" s="8" t="s">
        <v>13</v>
      </c>
      <c r="B9" s="9">
        <f>B7/B6*100</f>
        <v>12.580645161290322</v>
      </c>
      <c r="C9" s="9">
        <f>C7/C6*100</f>
        <v>13.049645390070921</v>
      </c>
      <c r="D9" s="9">
        <f>D7/D6*100</f>
        <v>13.924050632911392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B7DE9-FAA6-4F07-B889-9B894CDBEB0D}">
  <dimension ref="A1:J4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47.7109375" customWidth="1"/>
    <col min="2" max="2" width="18.7109375" customWidth="1"/>
    <col min="3" max="4" width="17.7109375" customWidth="1"/>
    <col min="5" max="5" width="19.7109375" customWidth="1"/>
    <col min="6" max="6" width="32.7109375" customWidth="1"/>
    <col min="7" max="7" width="12.7109375" customWidth="1"/>
    <col min="8" max="9" width="17.7109375" customWidth="1"/>
    <col min="10" max="10" width="22.7109375" customWidth="1"/>
  </cols>
  <sheetData>
    <row r="1" spans="1:10" ht="24" customHeight="1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</row>
    <row r="3" spans="1:10">
      <c r="A3" s="3" t="s">
        <v>21</v>
      </c>
    </row>
    <row r="5" spans="1:10" ht="15.75">
      <c r="A5" s="11" t="s">
        <v>22</v>
      </c>
    </row>
    <row r="6" spans="1:10" ht="20.25" customHeight="1">
      <c r="A6" s="4" t="s">
        <v>23</v>
      </c>
      <c r="B6" s="4" t="s">
        <v>24</v>
      </c>
      <c r="C6" s="4" t="s">
        <v>25</v>
      </c>
    </row>
    <row r="7" spans="1:10">
      <c r="A7" s="12" t="s">
        <v>26</v>
      </c>
      <c r="B7" s="16">
        <f>_xlfn.XLOOKUP("Net debt",tblFabrikam[Metric],tblFabrikam[FY2025])</f>
        <v>1580</v>
      </c>
      <c r="C7" s="35" t="s">
        <v>27</v>
      </c>
    </row>
    <row r="8" spans="1:10">
      <c r="A8" s="15" t="s">
        <v>28</v>
      </c>
      <c r="B8" s="17">
        <v>600</v>
      </c>
      <c r="C8" s="36" t="s">
        <v>29</v>
      </c>
    </row>
    <row r="9" spans="1:10">
      <c r="A9" s="13" t="s">
        <v>30</v>
      </c>
      <c r="B9" s="18">
        <v>600</v>
      </c>
      <c r="C9" s="37" t="s">
        <v>31</v>
      </c>
    </row>
    <row r="10" spans="1:10">
      <c r="A10" s="15" t="s">
        <v>32</v>
      </c>
      <c r="B10" s="17">
        <v>20</v>
      </c>
      <c r="C10" s="36" t="s">
        <v>33</v>
      </c>
    </row>
    <row r="11" spans="1:10">
      <c r="A11" s="13" t="s">
        <v>34</v>
      </c>
      <c r="B11" s="19">
        <f>SUM(B7:B10)</f>
        <v>2800</v>
      </c>
      <c r="C11" s="37" t="s">
        <v>35</v>
      </c>
    </row>
    <row r="12" spans="1:10">
      <c r="A12" s="15" t="s">
        <v>36</v>
      </c>
      <c r="B12" s="20">
        <f>_xlfn.XLOOKUP("EBITDA",tblFabrikam[Metric],tblFabrikam[FY2025])</f>
        <v>930</v>
      </c>
      <c r="C12" s="36" t="s">
        <v>27</v>
      </c>
    </row>
    <row r="13" spans="1:10">
      <c r="A13" s="13" t="s">
        <v>37</v>
      </c>
      <c r="B13" s="21">
        <f>_xlfn.XLOOKUP("EBITDA",tblContoso[Metric],tblContoso[Y2025])</f>
        <v>110</v>
      </c>
      <c r="C13" s="37" t="s">
        <v>38</v>
      </c>
    </row>
    <row r="14" spans="1:10">
      <c r="A14" s="15" t="s">
        <v>39</v>
      </c>
      <c r="B14" s="22">
        <f>B12+B13</f>
        <v>1040</v>
      </c>
      <c r="C14" s="36" t="s">
        <v>40</v>
      </c>
    </row>
    <row r="15" spans="1:10">
      <c r="A15" s="13" t="s">
        <v>41</v>
      </c>
      <c r="B15" s="23">
        <f>B11/B14</f>
        <v>2.6923076923076925</v>
      </c>
      <c r="C15" s="37" t="s">
        <v>42</v>
      </c>
    </row>
    <row r="16" spans="1:10">
      <c r="A16" s="15" t="s">
        <v>43</v>
      </c>
      <c r="B16" s="24">
        <v>3.25</v>
      </c>
      <c r="C16" s="36" t="s">
        <v>44</v>
      </c>
    </row>
    <row r="17" spans="1:10">
      <c r="A17" s="13" t="s">
        <v>45</v>
      </c>
      <c r="B17" s="25">
        <v>3</v>
      </c>
      <c r="C17" s="37" t="s">
        <v>46</v>
      </c>
    </row>
    <row r="18" spans="1:10">
      <c r="A18" s="15" t="s">
        <v>47</v>
      </c>
      <c r="B18" s="26">
        <f>(1-B15/B16)*100</f>
        <v>17.159763313609467</v>
      </c>
      <c r="C18" s="36" t="s">
        <v>48</v>
      </c>
    </row>
    <row r="19" spans="1:10">
      <c r="A19" s="13" t="s">
        <v>49</v>
      </c>
      <c r="B19" s="27">
        <f>_xlfn.XLOOKUP("Interest expense",tblFabrikam[Metric],tblFabrikam[FY2025])</f>
        <v>58</v>
      </c>
      <c r="C19" s="37" t="s">
        <v>27</v>
      </c>
    </row>
    <row r="20" spans="1:10">
      <c r="A20" s="15" t="s">
        <v>50</v>
      </c>
      <c r="B20" s="28">
        <v>2.1</v>
      </c>
      <c r="C20" s="36" t="s">
        <v>51</v>
      </c>
    </row>
    <row r="21" spans="1:10">
      <c r="A21" s="13" t="s">
        <v>52</v>
      </c>
      <c r="B21" s="29">
        <v>1.35</v>
      </c>
      <c r="C21" s="37" t="s">
        <v>53</v>
      </c>
    </row>
    <row r="22" spans="1:10">
      <c r="A22" s="15" t="s">
        <v>54</v>
      </c>
      <c r="B22" s="30">
        <f>B8*(B20+B21)/100</f>
        <v>20.7</v>
      </c>
      <c r="C22" s="36" t="s">
        <v>55</v>
      </c>
    </row>
    <row r="23" spans="1:10">
      <c r="A23" s="13" t="s">
        <v>56</v>
      </c>
      <c r="B23" s="18">
        <v>200</v>
      </c>
      <c r="C23" s="37" t="s">
        <v>57</v>
      </c>
    </row>
    <row r="24" spans="1:10">
      <c r="A24" s="15" t="s">
        <v>58</v>
      </c>
      <c r="B24" s="28">
        <v>1.1000000000000001</v>
      </c>
      <c r="C24" s="36" t="s">
        <v>59</v>
      </c>
    </row>
    <row r="25" spans="1:10">
      <c r="A25" s="13" t="s">
        <v>60</v>
      </c>
      <c r="B25" s="31">
        <v>35</v>
      </c>
      <c r="C25" s="37" t="s">
        <v>61</v>
      </c>
    </row>
    <row r="26" spans="1:10">
      <c r="A26" s="15" t="s">
        <v>62</v>
      </c>
      <c r="B26" s="30">
        <f>B23*B24/100*B25/100</f>
        <v>0.77</v>
      </c>
      <c r="C26" s="36" t="s">
        <v>63</v>
      </c>
    </row>
    <row r="27" spans="1:10">
      <c r="A27" s="13" t="s">
        <v>64</v>
      </c>
      <c r="B27" s="32">
        <f>B19+B22+B26</f>
        <v>79.47</v>
      </c>
      <c r="C27" s="37" t="s">
        <v>65</v>
      </c>
    </row>
    <row r="28" spans="1:10">
      <c r="A28" s="15" t="s">
        <v>66</v>
      </c>
      <c r="B28" s="33">
        <f>B14/B27</f>
        <v>13.086699383415125</v>
      </c>
      <c r="C28" s="36" t="s">
        <v>67</v>
      </c>
    </row>
    <row r="29" spans="1:10">
      <c r="A29" s="14" t="s">
        <v>68</v>
      </c>
      <c r="B29" s="34">
        <v>4</v>
      </c>
      <c r="C29" s="38" t="s">
        <v>44</v>
      </c>
    </row>
    <row r="31" spans="1:10" ht="15.75">
      <c r="A31" s="11" t="s">
        <v>69</v>
      </c>
    </row>
    <row r="32" spans="1:10" ht="20.25" customHeight="1">
      <c r="A32" s="4" t="s">
        <v>70</v>
      </c>
      <c r="B32" s="4" t="s">
        <v>71</v>
      </c>
      <c r="C32" s="4" t="s">
        <v>72</v>
      </c>
      <c r="D32" s="4" t="s">
        <v>73</v>
      </c>
      <c r="E32" s="4" t="s">
        <v>74</v>
      </c>
      <c r="F32" s="4" t="s">
        <v>75</v>
      </c>
      <c r="G32" s="4" t="s">
        <v>76</v>
      </c>
      <c r="H32" s="4" t="s">
        <v>77</v>
      </c>
      <c r="I32" s="4" t="s">
        <v>78</v>
      </c>
      <c r="J32" s="4" t="s">
        <v>79</v>
      </c>
    </row>
    <row r="33" spans="1:10">
      <c r="A33" t="s">
        <v>80</v>
      </c>
      <c r="B33" s="39">
        <f>B12</f>
        <v>930</v>
      </c>
      <c r="C33" s="39">
        <f>B13</f>
        <v>110</v>
      </c>
      <c r="D33" s="5">
        <v>0</v>
      </c>
      <c r="E33" s="39">
        <f>B33+C33+D33</f>
        <v>1040</v>
      </c>
      <c r="F33" s="5">
        <v>0</v>
      </c>
      <c r="G33" s="39">
        <f>PF_Net_Debt</f>
        <v>2800</v>
      </c>
      <c r="H33" s="7">
        <f>G33/E33</f>
        <v>2.6923076923076925</v>
      </c>
      <c r="I33" s="7">
        <f>Covenant_Leverage_Max</f>
        <v>3.25</v>
      </c>
      <c r="J33" s="6">
        <f>(1-H33/I33)*100</f>
        <v>17.159763313609467</v>
      </c>
    </row>
    <row r="34" spans="1:10">
      <c r="A34" t="s">
        <v>81</v>
      </c>
      <c r="B34" s="5">
        <v>967</v>
      </c>
      <c r="C34" s="5">
        <v>123</v>
      </c>
      <c r="D34" s="5">
        <v>15</v>
      </c>
      <c r="E34" s="39">
        <f>B34+C34+D34</f>
        <v>1105</v>
      </c>
      <c r="F34" s="5">
        <v>300</v>
      </c>
      <c r="G34" s="39">
        <f>G33-F34</f>
        <v>2500</v>
      </c>
      <c r="H34" s="7">
        <f>G34/E34</f>
        <v>2.2624434389140271</v>
      </c>
      <c r="I34" s="7">
        <f>Covenant_Leverage_Max</f>
        <v>3.25</v>
      </c>
      <c r="J34" s="6">
        <f>(1-H34/I34)*100</f>
        <v>30.386355725722247</v>
      </c>
    </row>
    <row r="35" spans="1:10">
      <c r="A35" t="s">
        <v>82</v>
      </c>
      <c r="B35" s="5">
        <v>1006</v>
      </c>
      <c r="C35" s="5">
        <v>138</v>
      </c>
      <c r="D35" s="5">
        <v>35</v>
      </c>
      <c r="E35" s="39">
        <f>B35+C35+D35</f>
        <v>1179</v>
      </c>
      <c r="F35" s="5">
        <v>380</v>
      </c>
      <c r="G35" s="39">
        <f>G34-F35</f>
        <v>2120</v>
      </c>
      <c r="H35" s="7">
        <f>G35/E35</f>
        <v>1.79813401187447</v>
      </c>
      <c r="I35" s="7">
        <f>Covenant_Leverage_Max</f>
        <v>3.25</v>
      </c>
      <c r="J35" s="6">
        <f>(1-H35/I35)*100</f>
        <v>44.672799634631687</v>
      </c>
    </row>
    <row r="36" spans="1:10">
      <c r="A36" t="s">
        <v>83</v>
      </c>
      <c r="B36" s="5">
        <v>1046</v>
      </c>
      <c r="C36" s="5">
        <v>152</v>
      </c>
      <c r="D36" s="5">
        <v>45</v>
      </c>
      <c r="E36" s="39">
        <f>B36+C36+D36</f>
        <v>1243</v>
      </c>
      <c r="F36" s="5">
        <v>420</v>
      </c>
      <c r="G36" s="39">
        <f>G35-F36</f>
        <v>1700</v>
      </c>
      <c r="H36" s="7">
        <f>G36/E36</f>
        <v>1.3676588897827835</v>
      </c>
      <c r="I36" s="7">
        <f>Covenant_Leverage_Max_Y3</f>
        <v>3</v>
      </c>
      <c r="J36" s="6">
        <f>(1-H36/I36)*100</f>
        <v>54.411370340573882</v>
      </c>
    </row>
    <row r="38" spans="1:10" ht="15.75">
      <c r="A38" s="11" t="s">
        <v>84</v>
      </c>
    </row>
    <row r="39" spans="1:10" ht="20.25" customHeight="1">
      <c r="A39" s="4" t="s">
        <v>85</v>
      </c>
      <c r="B39" s="4" t="s">
        <v>74</v>
      </c>
      <c r="C39" s="4" t="s">
        <v>77</v>
      </c>
      <c r="D39" s="4" t="s">
        <v>78</v>
      </c>
      <c r="E39" s="4" t="s">
        <v>86</v>
      </c>
    </row>
    <row r="40" spans="1:10">
      <c r="A40" s="40">
        <v>0</v>
      </c>
      <c r="B40" s="41">
        <f>PF_EBITDA*(1+A40/100)</f>
        <v>1040</v>
      </c>
      <c r="C40" s="7">
        <f>PF_Net_Debt/B40</f>
        <v>2.6923076923076925</v>
      </c>
      <c r="D40" s="7">
        <f>Covenant_Leverage_Max</f>
        <v>3.25</v>
      </c>
      <c r="E40" s="42" t="str">
        <f>IF(C40&lt;=D40,"Yes","No")</f>
        <v>Yes</v>
      </c>
    </row>
    <row r="41" spans="1:10">
      <c r="A41" s="40">
        <v>-10</v>
      </c>
      <c r="B41" s="41">
        <f>PF_EBITDA*(1+A41/100)</f>
        <v>936</v>
      </c>
      <c r="C41" s="7">
        <f>PF_Net_Debt/B41</f>
        <v>2.9914529914529915</v>
      </c>
      <c r="D41" s="7">
        <f>Covenant_Leverage_Max</f>
        <v>3.25</v>
      </c>
      <c r="E41" s="42" t="str">
        <f>IF(C41&lt;=D41,"Yes","No")</f>
        <v>Yes</v>
      </c>
    </row>
    <row r="42" spans="1:10">
      <c r="A42" s="40">
        <v>-15</v>
      </c>
      <c r="B42" s="41">
        <f>PF_EBITDA*(1+A42/100)</f>
        <v>884</v>
      </c>
      <c r="C42" s="7">
        <f>PF_Net_Debt/B42</f>
        <v>3.1674208144796379</v>
      </c>
      <c r="D42" s="7">
        <f>Covenant_Leverage_Max</f>
        <v>3.25</v>
      </c>
      <c r="E42" s="42" t="str">
        <f>IF(C42&lt;=D42,"Yes","No")</f>
        <v>Yes</v>
      </c>
    </row>
    <row r="43" spans="1:10">
      <c r="A43" s="40">
        <v>-20</v>
      </c>
      <c r="B43" s="41">
        <f>PF_EBITDA*(1+A43/100)</f>
        <v>832</v>
      </c>
      <c r="C43" s="7">
        <f>PF_Net_Debt/B43</f>
        <v>3.3653846153846154</v>
      </c>
      <c r="D43" s="7">
        <f>Covenant_Leverage_Max</f>
        <v>3.25</v>
      </c>
      <c r="E43" s="42" t="str">
        <f>IF(C43&lt;=D43,"Yes","No")</f>
        <v>No</v>
      </c>
    </row>
  </sheetData>
  <mergeCells count="1">
    <mergeCell ref="A1:J1"/>
  </mergeCells>
  <conditionalFormatting sqref="E40:E43">
    <cfRule type="containsText" dxfId="35" priority="1" operator="containsText" text="No">
      <formula>NOT(ISERROR(SEARCH("No",E40)))</formula>
    </cfRule>
  </conditionalFormatting>
  <conditionalFormatting sqref="E40:E43">
    <cfRule type="containsText" dxfId="34" priority="2" operator="containsText" text="Yes">
      <formula>NOT(ISERROR(SEARCH("Yes",E40)))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960AB-89A2-4BDF-BE13-A7A2B4F5E4F4}">
  <dimension ref="A1:Q3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34.7109375" customWidth="1"/>
    <col min="2" max="2" width="17.7109375" customWidth="1"/>
    <col min="3" max="3" width="18.7109375" customWidth="1"/>
    <col min="4" max="4" width="35.7109375" customWidth="1"/>
    <col min="5" max="5" width="38.7109375" customWidth="1"/>
    <col min="6" max="6" width="31.7109375" customWidth="1"/>
    <col min="7" max="7" width="25.7109375" customWidth="1"/>
    <col min="8" max="8" width="24.7109375" customWidth="1"/>
    <col min="9" max="9" width="20.7109375" customWidth="1"/>
    <col min="10" max="10" width="23.7109375" customWidth="1"/>
    <col min="11" max="11" width="31.7109375" customWidth="1"/>
    <col min="12" max="12" width="34.7109375" customWidth="1"/>
    <col min="13" max="13" width="13.7109375" customWidth="1"/>
    <col min="14" max="14" width="22.7109375" customWidth="1"/>
    <col min="15" max="15" width="27.7109375" customWidth="1"/>
    <col min="16" max="16" width="26.7109375" customWidth="1"/>
    <col min="17" max="17" width="13.7109375" customWidth="1"/>
  </cols>
  <sheetData>
    <row r="1" spans="1:17" ht="24" customHeight="1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2" t="s">
        <v>1</v>
      </c>
    </row>
    <row r="3" spans="1:17">
      <c r="A3" s="3" t="s">
        <v>88</v>
      </c>
    </row>
    <row r="5" spans="1:17" ht="15.75">
      <c r="A5" s="11" t="s">
        <v>89</v>
      </c>
    </row>
    <row r="6" spans="1:17" ht="20.25" customHeight="1">
      <c r="A6" s="4" t="s">
        <v>90</v>
      </c>
      <c r="B6" s="4" t="s">
        <v>24</v>
      </c>
      <c r="C6" s="4" t="s">
        <v>91</v>
      </c>
      <c r="D6" s="4" t="s">
        <v>25</v>
      </c>
    </row>
    <row r="7" spans="1:17">
      <c r="A7" s="12" t="s">
        <v>92</v>
      </c>
      <c r="B7" s="44">
        <v>3755</v>
      </c>
      <c r="C7" s="49" t="s">
        <v>93</v>
      </c>
      <c r="D7" s="35" t="s">
        <v>94</v>
      </c>
    </row>
    <row r="8" spans="1:17">
      <c r="A8" s="15" t="s">
        <v>95</v>
      </c>
      <c r="B8" s="17">
        <v>27600</v>
      </c>
      <c r="C8" s="50" t="s">
        <v>93</v>
      </c>
      <c r="D8" s="36" t="s">
        <v>94</v>
      </c>
    </row>
    <row r="9" spans="1:17">
      <c r="A9" s="13" t="s">
        <v>96</v>
      </c>
      <c r="B9" s="18">
        <v>900</v>
      </c>
      <c r="C9" s="51" t="s">
        <v>93</v>
      </c>
      <c r="D9" s="37" t="s">
        <v>97</v>
      </c>
    </row>
    <row r="10" spans="1:17">
      <c r="A10" s="15" t="s">
        <v>98</v>
      </c>
      <c r="B10" s="17">
        <v>280</v>
      </c>
      <c r="C10" s="50" t="s">
        <v>93</v>
      </c>
      <c r="D10" s="36" t="s">
        <v>99</v>
      </c>
    </row>
    <row r="11" spans="1:17">
      <c r="A11" s="13" t="s">
        <v>100</v>
      </c>
      <c r="B11" s="18">
        <v>190</v>
      </c>
      <c r="C11" s="51" t="s">
        <v>93</v>
      </c>
      <c r="D11" s="37" t="s">
        <v>101</v>
      </c>
    </row>
    <row r="12" spans="1:17">
      <c r="A12" s="15" t="s">
        <v>102</v>
      </c>
      <c r="B12" s="45">
        <v>15</v>
      </c>
      <c r="C12" s="50" t="s">
        <v>103</v>
      </c>
      <c r="D12" s="36" t="s">
        <v>104</v>
      </c>
    </row>
    <row r="13" spans="1:17">
      <c r="A13" s="13" t="s">
        <v>105</v>
      </c>
      <c r="B13" s="46">
        <v>13.5</v>
      </c>
      <c r="C13" s="51" t="s">
        <v>103</v>
      </c>
      <c r="D13" s="37" t="s">
        <v>106</v>
      </c>
    </row>
    <row r="14" spans="1:17">
      <c r="A14" s="15" t="s">
        <v>107</v>
      </c>
      <c r="B14" s="17">
        <v>500</v>
      </c>
      <c r="C14" s="50" t="s">
        <v>93</v>
      </c>
      <c r="D14" s="36" t="s">
        <v>108</v>
      </c>
    </row>
    <row r="15" spans="1:17">
      <c r="A15" s="13" t="s">
        <v>109</v>
      </c>
      <c r="B15" s="46">
        <v>75</v>
      </c>
      <c r="C15" s="51" t="s">
        <v>110</v>
      </c>
      <c r="D15" s="37" t="s">
        <v>111</v>
      </c>
    </row>
    <row r="16" spans="1:17">
      <c r="A16" s="15" t="s">
        <v>112</v>
      </c>
      <c r="B16" s="28">
        <v>1.35</v>
      </c>
      <c r="C16" s="50" t="s">
        <v>113</v>
      </c>
      <c r="D16" s="36" t="s">
        <v>114</v>
      </c>
    </row>
    <row r="17" spans="1:17">
      <c r="A17" s="13" t="s">
        <v>115</v>
      </c>
      <c r="B17" s="29">
        <v>1.1000000000000001</v>
      </c>
      <c r="C17" s="51" t="s">
        <v>113</v>
      </c>
      <c r="D17" s="37" t="s">
        <v>116</v>
      </c>
    </row>
    <row r="18" spans="1:17">
      <c r="A18" s="15" t="s">
        <v>117</v>
      </c>
      <c r="B18" s="45">
        <v>35</v>
      </c>
      <c r="C18" s="50" t="s">
        <v>118</v>
      </c>
      <c r="D18" s="36" t="s">
        <v>119</v>
      </c>
    </row>
    <row r="19" spans="1:17">
      <c r="A19" s="13" t="s">
        <v>120</v>
      </c>
      <c r="B19" s="46">
        <v>30</v>
      </c>
      <c r="C19" s="51" t="s">
        <v>121</v>
      </c>
      <c r="D19" s="37" t="s">
        <v>122</v>
      </c>
    </row>
    <row r="20" spans="1:17">
      <c r="A20" s="15" t="s">
        <v>123</v>
      </c>
      <c r="B20" s="28">
        <v>0.6</v>
      </c>
      <c r="C20" s="50" t="s">
        <v>110</v>
      </c>
      <c r="D20" s="36" t="s">
        <v>124</v>
      </c>
    </row>
    <row r="21" spans="1:17">
      <c r="A21" s="13" t="s">
        <v>125</v>
      </c>
      <c r="B21" s="31">
        <v>5</v>
      </c>
      <c r="C21" s="51" t="s">
        <v>126</v>
      </c>
      <c r="D21" s="37" t="s">
        <v>127</v>
      </c>
    </row>
    <row r="22" spans="1:17">
      <c r="A22" s="15" t="s">
        <v>128</v>
      </c>
      <c r="B22" s="45">
        <v>70</v>
      </c>
      <c r="C22" s="50" t="s">
        <v>129</v>
      </c>
      <c r="D22" s="36" t="s">
        <v>130</v>
      </c>
    </row>
    <row r="23" spans="1:17">
      <c r="A23" s="13" t="s">
        <v>131</v>
      </c>
      <c r="B23" s="46">
        <v>50</v>
      </c>
      <c r="C23" s="51" t="s">
        <v>132</v>
      </c>
      <c r="D23" s="37" t="s">
        <v>133</v>
      </c>
    </row>
    <row r="24" spans="1:17">
      <c r="A24" s="15" t="s">
        <v>134</v>
      </c>
      <c r="B24" s="45">
        <v>1.5</v>
      </c>
      <c r="C24" s="50" t="s">
        <v>135</v>
      </c>
      <c r="D24" s="36" t="s">
        <v>136</v>
      </c>
    </row>
    <row r="25" spans="1:17">
      <c r="A25" s="13" t="s">
        <v>137</v>
      </c>
      <c r="B25" s="46">
        <v>0.9</v>
      </c>
      <c r="C25" s="51" t="s">
        <v>135</v>
      </c>
      <c r="D25" s="37" t="s">
        <v>138</v>
      </c>
    </row>
    <row r="26" spans="1:17">
      <c r="A26" s="15" t="s">
        <v>139</v>
      </c>
      <c r="B26" s="17">
        <v>250</v>
      </c>
      <c r="C26" s="50" t="s">
        <v>93</v>
      </c>
      <c r="D26" s="36" t="s">
        <v>140</v>
      </c>
    </row>
    <row r="27" spans="1:17">
      <c r="A27" s="13" t="s">
        <v>141</v>
      </c>
      <c r="B27" s="46">
        <v>0.4</v>
      </c>
      <c r="C27" s="51" t="s">
        <v>135</v>
      </c>
      <c r="D27" s="37" t="s">
        <v>142</v>
      </c>
    </row>
    <row r="28" spans="1:17">
      <c r="A28" s="43" t="s">
        <v>143</v>
      </c>
      <c r="B28" s="47">
        <v>2.5</v>
      </c>
      <c r="C28" s="52" t="s">
        <v>144</v>
      </c>
      <c r="D28" s="48" t="s">
        <v>145</v>
      </c>
    </row>
    <row r="30" spans="1:17" ht="15.75">
      <c r="A30" s="11" t="s">
        <v>146</v>
      </c>
    </row>
    <row r="31" spans="1:17" ht="20.25" customHeight="1">
      <c r="A31" s="4" t="s">
        <v>147</v>
      </c>
      <c r="B31" s="4" t="s">
        <v>148</v>
      </c>
      <c r="C31" s="4" t="s">
        <v>149</v>
      </c>
      <c r="D31" s="4" t="s">
        <v>150</v>
      </c>
      <c r="E31" s="4" t="s">
        <v>151</v>
      </c>
      <c r="F31" s="4" t="s">
        <v>152</v>
      </c>
      <c r="G31" s="4" t="s">
        <v>153</v>
      </c>
      <c r="H31" s="4" t="s">
        <v>154</v>
      </c>
      <c r="I31" s="4" t="s">
        <v>155</v>
      </c>
      <c r="J31" s="4" t="s">
        <v>156</v>
      </c>
      <c r="K31" s="4" t="s">
        <v>157</v>
      </c>
      <c r="L31" s="4" t="s">
        <v>158</v>
      </c>
      <c r="M31" s="4" t="s">
        <v>159</v>
      </c>
      <c r="N31" s="4" t="s">
        <v>160</v>
      </c>
      <c r="O31" s="4" t="s">
        <v>161</v>
      </c>
      <c r="P31" s="4" t="s">
        <v>162</v>
      </c>
      <c r="Q31" s="4" t="s">
        <v>163</v>
      </c>
    </row>
    <row r="32" spans="1:17">
      <c r="A32" s="53">
        <v>200</v>
      </c>
      <c r="B32" s="41">
        <f>A32*TLA_Share_pct/100</f>
        <v>150</v>
      </c>
      <c r="C32" s="41">
        <f t="shared" ref="C32:C34" si="0">A32-B32</f>
        <v>50</v>
      </c>
      <c r="D32" s="54">
        <f>(Industrials_Commitments+A32)/(Total_Commitments+A32)*100</f>
        <v>14.226618705035971</v>
      </c>
      <c r="E32" s="54">
        <f>(Industrials_Commitments+Pipeline_Industrials+A32)/(Total_Commitments+Pipeline_Total+A32)*100</f>
        <v>14.75609756097561</v>
      </c>
      <c r="F32" s="39">
        <f>Fabrikam_Existing+A32</f>
        <v>390</v>
      </c>
      <c r="G32" s="39">
        <f>Single_Name_Limit</f>
        <v>500</v>
      </c>
      <c r="H32" s="6">
        <f t="shared" ref="H32:H34" si="1">F32/G32*100</f>
        <v>78</v>
      </c>
      <c r="I32" s="54">
        <f>(B32*TLA_Margin_pct+C32*RCF_Utilisation_pct/100*RCF_Margin_pct+C32*(1-RCF_Utilisation_pct/100)*RCF_Margin_pct*Commitment_Fee_pct/100+A32*Upfront_Fee_pct/Upfront_Fee_Years)/100</f>
        <v>2.5647500000000001</v>
      </c>
      <c r="J32" s="6">
        <f>IF(A32&gt;=Hedging_Min_Hold,Hedging_Revenue_Coordinator,Hedging_Revenue_Shared)</f>
        <v>0.9</v>
      </c>
      <c r="K32" s="6">
        <f>Cash_Mgmt_Revenue</f>
        <v>0.4</v>
      </c>
      <c r="L32" s="54">
        <f t="shared" ref="L32:L34" si="2">I32+J32+K32</f>
        <v>3.8647499999999999</v>
      </c>
      <c r="M32" s="41">
        <f>(B32+C32*RCF_Utilisation_pct/100+C32*(1-RCF_Utilisation_pct/100)*EAD_Undrawn_pct/100)*Risk_Weight_pct/100</f>
        <v>127.75</v>
      </c>
      <c r="N32" s="54">
        <f t="shared" ref="N32:N34" si="3">I32/M32*100</f>
        <v>2.0076320939334638</v>
      </c>
      <c r="O32" s="54">
        <f t="shared" ref="O32:O34" si="4">(I32+K32)/M32*100</f>
        <v>2.3207436399217221</v>
      </c>
      <c r="P32" s="54">
        <f t="shared" ref="P32:P34" si="5">L32/M32*100</f>
        <v>3.0252446183953032</v>
      </c>
      <c r="Q32" s="54">
        <f>RoRWA_Hurdle_pct</f>
        <v>2.5</v>
      </c>
    </row>
    <row r="33" spans="1:17">
      <c r="A33" s="53">
        <v>250</v>
      </c>
      <c r="B33" s="41">
        <f>A33*TLA_Share_pct/100</f>
        <v>187.5</v>
      </c>
      <c r="C33" s="41">
        <f>A33-B33</f>
        <v>62.5</v>
      </c>
      <c r="D33" s="54">
        <f>(Industrials_Commitments+A33)/(Total_Commitments+A33)*100</f>
        <v>14.380610412926393</v>
      </c>
      <c r="E33" s="54">
        <f>(Industrials_Commitments+Pipeline_Industrials+A33)/(Total_Commitments+Pipeline_Total+A33)*100</f>
        <v>14.904347826086955</v>
      </c>
      <c r="F33" s="39">
        <f>Fabrikam_Existing+A33</f>
        <v>440</v>
      </c>
      <c r="G33" s="39">
        <f>Single_Name_Limit</f>
        <v>500</v>
      </c>
      <c r="H33" s="6">
        <f>F33/G33*100</f>
        <v>88</v>
      </c>
      <c r="I33" s="54">
        <f>(B33*TLA_Margin_pct+C33*RCF_Utilisation_pct/100*RCF_Margin_pct+C33*(1-RCF_Utilisation_pct/100)*RCF_Margin_pct*Commitment_Fee_pct/100+A33*Upfront_Fee_pct/Upfront_Fee_Years)/100</f>
        <v>3.2059375000000001</v>
      </c>
      <c r="J33" s="6">
        <f>IF(A33&gt;=Hedging_Min_Hold,Hedging_Revenue_Coordinator,Hedging_Revenue_Shared)</f>
        <v>1.5</v>
      </c>
      <c r="K33" s="6">
        <f>Cash_Mgmt_Revenue</f>
        <v>0.4</v>
      </c>
      <c r="L33" s="54">
        <f>I33+J33+K33</f>
        <v>5.1059375000000005</v>
      </c>
      <c r="M33" s="41">
        <f>(B33+C33*RCF_Utilisation_pct/100+C33*(1-RCF_Utilisation_pct/100)*EAD_Undrawn_pct/100)*Risk_Weight_pct/100</f>
        <v>159.6875</v>
      </c>
      <c r="N33" s="54">
        <f>I33/M33*100</f>
        <v>2.0076320939334638</v>
      </c>
      <c r="O33" s="54">
        <f>(I33+K33)/M33*100</f>
        <v>2.2581213307240704</v>
      </c>
      <c r="P33" s="54">
        <f>L33/M33*100</f>
        <v>3.1974559686888457</v>
      </c>
      <c r="Q33" s="54">
        <f>RoRWA_Hurdle_pct</f>
        <v>2.5</v>
      </c>
    </row>
    <row r="34" spans="1:17">
      <c r="A34" s="53">
        <v>300</v>
      </c>
      <c r="B34" s="41">
        <f>A34*TLA_Share_pct/100</f>
        <v>225</v>
      </c>
      <c r="C34" s="41">
        <f>A34-B34</f>
        <v>75</v>
      </c>
      <c r="D34" s="54">
        <f>(Industrials_Commitments+A34)/(Total_Commitments+A34)*100</f>
        <v>14.534050179211469</v>
      </c>
      <c r="E34" s="54">
        <f>(Industrials_Commitments+Pipeline_Industrials+A34)/(Total_Commitments+Pipeline_Total+A34)*100</f>
        <v>15.052083333333332</v>
      </c>
      <c r="F34" s="39">
        <f>Fabrikam_Existing+A34</f>
        <v>490</v>
      </c>
      <c r="G34" s="39">
        <f>Single_Name_Limit</f>
        <v>500</v>
      </c>
      <c r="H34" s="6">
        <f>F34/G34*100</f>
        <v>98</v>
      </c>
      <c r="I34" s="54">
        <f>(B34*TLA_Margin_pct+C34*RCF_Utilisation_pct/100*RCF_Margin_pct+C34*(1-RCF_Utilisation_pct/100)*RCF_Margin_pct*Commitment_Fee_pct/100+A34*Upfront_Fee_pct/Upfront_Fee_Years)/100</f>
        <v>3.8471249999999997</v>
      </c>
      <c r="J34" s="6">
        <f>IF(A34&gt;=Hedging_Min_Hold,Hedging_Revenue_Coordinator,Hedging_Revenue_Shared)</f>
        <v>1.5</v>
      </c>
      <c r="K34" s="6">
        <f>Cash_Mgmt_Revenue</f>
        <v>0.4</v>
      </c>
      <c r="L34" s="54">
        <f>I34+J34+K34</f>
        <v>5.7471250000000005</v>
      </c>
      <c r="M34" s="41">
        <f>(B34+C34*RCF_Utilisation_pct/100+C34*(1-RCF_Utilisation_pct/100)*EAD_Undrawn_pct/100)*Risk_Weight_pct/100</f>
        <v>191.625</v>
      </c>
      <c r="N34" s="54">
        <f>I34/M34*100</f>
        <v>2.0076320939334638</v>
      </c>
      <c r="O34" s="54">
        <f>(I34+K34)/M34*100</f>
        <v>2.2163731245923026</v>
      </c>
      <c r="P34" s="54">
        <f>L34/M34*100</f>
        <v>2.9991519895629488</v>
      </c>
      <c r="Q34" s="54">
        <f>RoRWA_Hurdle_pct</f>
        <v>2.5</v>
      </c>
    </row>
  </sheetData>
  <mergeCells count="1">
    <mergeCell ref="A1:Q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2DE8B-9025-43EC-88A9-141EC13A7D95}">
  <dimension ref="A1:C2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.7109375" customWidth="1"/>
    <col min="2" max="2" width="105.7109375" customWidth="1"/>
    <col min="3" max="3" width="34.7109375" customWidth="1"/>
  </cols>
  <sheetData>
    <row r="1" spans="1:3" ht="24" customHeight="1">
      <c r="A1" s="1" t="s">
        <v>164</v>
      </c>
      <c r="B1" s="1"/>
      <c r="C1" s="1"/>
    </row>
    <row r="2" spans="1:3" ht="15.75">
      <c r="A2" s="55" t="s">
        <v>1</v>
      </c>
    </row>
    <row r="4" spans="1:3" ht="20.25" customHeight="1">
      <c r="A4" s="4" t="s">
        <v>23</v>
      </c>
      <c r="B4" s="4" t="s">
        <v>165</v>
      </c>
      <c r="C4" s="4" t="s">
        <v>166</v>
      </c>
    </row>
    <row r="5" spans="1:3" ht="18" customHeight="1">
      <c r="A5" s="62" t="s">
        <v>167</v>
      </c>
      <c r="B5" s="57" t="s">
        <v>168</v>
      </c>
      <c r="C5" s="59" t="s">
        <v>169</v>
      </c>
    </row>
    <row r="6" spans="1:3" ht="18" customHeight="1">
      <c r="A6" s="65" t="s">
        <v>170</v>
      </c>
      <c r="B6" s="66" t="s">
        <v>171</v>
      </c>
      <c r="C6" s="67" t="s">
        <v>169</v>
      </c>
    </row>
    <row r="7" spans="1:3" ht="33" customHeight="1">
      <c r="A7" s="63" t="s">
        <v>172</v>
      </c>
      <c r="B7" s="56" t="s">
        <v>173</v>
      </c>
      <c r="C7" s="60" t="s">
        <v>174</v>
      </c>
    </row>
    <row r="8" spans="1:3" ht="33" customHeight="1">
      <c r="A8" s="65" t="s">
        <v>175</v>
      </c>
      <c r="B8" s="66" t="s">
        <v>176</v>
      </c>
      <c r="C8" s="67" t="s">
        <v>177</v>
      </c>
    </row>
    <row r="9" spans="1:3" ht="33" customHeight="1">
      <c r="A9" s="63" t="s">
        <v>178</v>
      </c>
      <c r="B9" s="56" t="s">
        <v>179</v>
      </c>
      <c r="C9" s="60" t="s">
        <v>174</v>
      </c>
    </row>
    <row r="10" spans="1:3" ht="18" customHeight="1">
      <c r="A10" s="65" t="s">
        <v>180</v>
      </c>
      <c r="B10" s="66" t="s">
        <v>181</v>
      </c>
      <c r="C10" s="67" t="s">
        <v>174</v>
      </c>
    </row>
    <row r="11" spans="1:3" ht="48" customHeight="1">
      <c r="A11" s="63" t="s">
        <v>182</v>
      </c>
      <c r="B11" s="56" t="s">
        <v>183</v>
      </c>
      <c r="C11" s="60" t="s">
        <v>184</v>
      </c>
    </row>
    <row r="12" spans="1:3" ht="18" customHeight="1">
      <c r="A12" s="65" t="s">
        <v>185</v>
      </c>
      <c r="B12" s="66" t="s">
        <v>186</v>
      </c>
      <c r="C12" s="67" t="s">
        <v>184</v>
      </c>
    </row>
    <row r="13" spans="1:3" ht="33" customHeight="1">
      <c r="A13" s="63" t="s">
        <v>187</v>
      </c>
      <c r="B13" s="56" t="s">
        <v>188</v>
      </c>
      <c r="C13" s="60" t="s">
        <v>184</v>
      </c>
    </row>
    <row r="14" spans="1:3" ht="48" customHeight="1">
      <c r="A14" s="65" t="s">
        <v>189</v>
      </c>
      <c r="B14" s="66" t="s">
        <v>190</v>
      </c>
      <c r="C14" s="67" t="s">
        <v>184</v>
      </c>
    </row>
    <row r="15" spans="1:3" ht="33" customHeight="1">
      <c r="A15" s="63" t="s">
        <v>191</v>
      </c>
      <c r="B15" s="56" t="s">
        <v>192</v>
      </c>
      <c r="C15" s="60" t="s">
        <v>184</v>
      </c>
    </row>
    <row r="16" spans="1:3" ht="33" customHeight="1">
      <c r="A16" s="65" t="s">
        <v>193</v>
      </c>
      <c r="B16" s="66" t="s">
        <v>194</v>
      </c>
      <c r="C16" s="67" t="s">
        <v>184</v>
      </c>
    </row>
    <row r="17" spans="1:3" ht="48" customHeight="1">
      <c r="A17" s="63" t="s">
        <v>195</v>
      </c>
      <c r="B17" s="56" t="s">
        <v>196</v>
      </c>
      <c r="C17" s="60" t="s">
        <v>197</v>
      </c>
    </row>
    <row r="18" spans="1:3" ht="33" customHeight="1">
      <c r="A18" s="65" t="s">
        <v>198</v>
      </c>
      <c r="B18" s="66" t="s">
        <v>199</v>
      </c>
      <c r="C18" s="67" t="s">
        <v>197</v>
      </c>
    </row>
    <row r="19" spans="1:3" ht="48" customHeight="1">
      <c r="A19" s="63" t="s">
        <v>200</v>
      </c>
      <c r="B19" s="56" t="s">
        <v>201</v>
      </c>
      <c r="C19" s="60" t="s">
        <v>197</v>
      </c>
    </row>
    <row r="20" spans="1:3" ht="33" customHeight="1">
      <c r="A20" s="65" t="s">
        <v>202</v>
      </c>
      <c r="B20" s="66" t="s">
        <v>203</v>
      </c>
      <c r="C20" s="67" t="s">
        <v>197</v>
      </c>
    </row>
    <row r="21" spans="1:3" ht="33" customHeight="1">
      <c r="A21" s="63" t="s">
        <v>204</v>
      </c>
      <c r="B21" s="56" t="s">
        <v>205</v>
      </c>
      <c r="C21" s="60" t="s">
        <v>197</v>
      </c>
    </row>
    <row r="22" spans="1:3" ht="18" customHeight="1">
      <c r="A22" s="65" t="s">
        <v>206</v>
      </c>
      <c r="B22" s="66" t="s">
        <v>207</v>
      </c>
      <c r="C22" s="67" t="s">
        <v>197</v>
      </c>
    </row>
    <row r="23" spans="1:3" ht="33" customHeight="1">
      <c r="A23" s="64" t="s">
        <v>208</v>
      </c>
      <c r="B23" s="58" t="s">
        <v>209</v>
      </c>
      <c r="C23" s="61" t="s">
        <v>169</v>
      </c>
    </row>
  </sheetData>
  <mergeCells count="1">
    <mergeCell ref="A1:C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fbde396-1a24-4c79-8edf-9254a0f35055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i:0#.f|membership|sarahallali@microsoft.com</cp:lastModifiedBy>
  <cp:revision/>
  <dcterms:created xsi:type="dcterms:W3CDTF">2026-10-03T13:45:06Z</dcterms:created>
  <dcterms:modified xsi:type="dcterms:W3CDTF">2026-10-03T13:47:21Z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