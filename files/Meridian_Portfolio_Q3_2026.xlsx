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bookViews>
    <workbookView xWindow="0" yWindow="0" windowWidth="0" windowHeight="0" xr2:uid="{00000000-000D-0000-FFFF-FFFF00000000}"/>
  </bookViews>
  <sheets>
    <sheet name="Portfolio_Exposures" sheetId="1" r:id="rId1"/>
    <sheet name="Quarterly_Trend" sheetId="2" r:id="rId2"/>
    <sheet name="Risk_Appetite_Limits" sheetId="3" r:id="rId3"/>
    <sheet name="Pipeline" sheetId="4" r:id="rId4"/>
    <sheet name="Data_Dictionary" sheetId="5" r:id="rId5"/>
    <sheet name="Abou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E5" i="3" s="1"/>
  <c r="F5" i="3" s="1"/>
  <c r="D6" i="3"/>
  <c r="E6" i="3" s="1"/>
  <c r="F6" i="3" s="1"/>
  <c r="D7" i="3"/>
  <c r="E7" i="3" s="1"/>
  <c r="F7" i="3" s="1"/>
  <c r="D8" i="3"/>
  <c r="E8" i="3" s="1"/>
  <c r="F8" i="3" s="1"/>
  <c r="D9" i="3"/>
  <c r="E9" i="3" s="1"/>
  <c r="F9" i="3" s="1"/>
  <c r="D10" i="3"/>
  <c r="E10" i="3" s="1"/>
  <c r="F10" i="3" s="1"/>
  <c r="D11" i="3"/>
  <c r="E11" i="3" s="1"/>
  <c r="F11" i="3" s="1"/>
  <c r="D12" i="3"/>
  <c r="E12" i="3" s="1"/>
  <c r="F12" i="3" s="1"/>
  <c r="D13" i="3"/>
  <c r="E13" i="3" s="1"/>
  <c r="F13" i="3" s="1"/>
  <c r="D14" i="3"/>
  <c r="E14" i="3" s="1"/>
  <c r="F14" i="3" s="1"/>
  <c r="D15" i="3"/>
  <c r="E15" i="3" s="1"/>
  <c r="F15" i="3" s="1"/>
</calcChain>
</file>

<file path=xl/sharedStrings.xml><?xml version="1.0" encoding="utf-8"?>
<sst xmlns="http://schemas.openxmlformats.org/spreadsheetml/2006/main" count="2815" uniqueCount="652">
  <si>
    <t>Facility_ID</t>
  </si>
  <si>
    <t>Client_Name</t>
  </si>
  <si>
    <t>Group_Name</t>
  </si>
  <si>
    <t>Segment</t>
  </si>
  <si>
    <t>Sector</t>
  </si>
  <si>
    <t>Country</t>
  </si>
  <si>
    <t>Booking_Location</t>
  </si>
  <si>
    <t>Facility_Type</t>
  </si>
  <si>
    <t>Currency</t>
  </si>
  <si>
    <t>Commitment_EURm</t>
  </si>
  <si>
    <t>Drawn_EURm</t>
  </si>
  <si>
    <t>Rating_Grade</t>
  </si>
  <si>
    <t>Prior_Quarter_Rating</t>
  </si>
  <si>
    <t>IFRS9_Stage</t>
  </si>
  <si>
    <t>Watch_List</t>
  </si>
  <si>
    <t>Margin_bps</t>
  </si>
  <si>
    <t>RWA_EURm</t>
  </si>
  <si>
    <t>Annualised_Revenue_EURm</t>
  </si>
  <si>
    <t>Maturity_Date</t>
  </si>
  <si>
    <t>Last_Annual_Review</t>
  </si>
  <si>
    <t>Relationship_Manager</t>
  </si>
  <si>
    <t>Sustainability_Linked</t>
  </si>
  <si>
    <t>ESG_Risk</t>
  </si>
  <si>
    <t>Comment</t>
  </si>
  <si>
    <t>MER-0001</t>
  </si>
  <si>
    <t>Kalelle Transit AB</t>
  </si>
  <si>
    <t>Kalelle Group</t>
  </si>
  <si>
    <t>Global Corporates</t>
  </si>
  <si>
    <t>Infrastructure</t>
  </si>
  <si>
    <t>Sweden</t>
  </si>
  <si>
    <t>Amsterdam</t>
  </si>
  <si>
    <t>Project Finance</t>
  </si>
  <si>
    <t>EUR</t>
  </si>
  <si>
    <t>BBB</t>
  </si>
  <si>
    <t>N</t>
  </si>
  <si>
    <t>Kenji Mori</t>
  </si>
  <si>
    <t>Y</t>
  </si>
  <si>
    <t>Low</t>
  </si>
  <si>
    <t>MER-0002</t>
  </si>
  <si>
    <t>Gallith Medical GmbH</t>
  </si>
  <si>
    <t>Gallith Group</t>
  </si>
  <si>
    <t>Healthcare &amp; Pharma</t>
  </si>
  <si>
    <t>Germany</t>
  </si>
  <si>
    <t>Düsseldorf</t>
  </si>
  <si>
    <t>Term Loan</t>
  </si>
  <si>
    <t>A+</t>
  </si>
  <si>
    <t>Lukas Weber</t>
  </si>
  <si>
    <t>MER-0003</t>
  </si>
  <si>
    <t>Lumdex Utilities Europe S.A.</t>
  </si>
  <si>
    <t>Lumdex Group</t>
  </si>
  <si>
    <t>Japanese Corporates</t>
  </si>
  <si>
    <t>Energy &amp; Utilities</t>
  </si>
  <si>
    <t>Spain</t>
  </si>
  <si>
    <t>Madrid</t>
  </si>
  <si>
    <t>A</t>
  </si>
  <si>
    <t>A-</t>
  </si>
  <si>
    <t>Sofia Navarro</t>
  </si>
  <si>
    <t>High</t>
  </si>
  <si>
    <t>Upgraded: improved leverage and cash flow</t>
  </si>
  <si>
    <t>MER-0004</t>
  </si>
  <si>
    <t>Eldunda Retail Company</t>
  </si>
  <si>
    <t>Eldunda Group</t>
  </si>
  <si>
    <t>Consumer &amp; Retail</t>
  </si>
  <si>
    <t>Saudi Arabia</t>
  </si>
  <si>
    <t>Dubai</t>
  </si>
  <si>
    <t>USD</t>
  </si>
  <si>
    <t>Omar Haddad</t>
  </si>
  <si>
    <t>Annual review overdue - updated financials awaited</t>
  </si>
  <si>
    <t>MER-0005</t>
  </si>
  <si>
    <t>Morunda Shipping Europe B.V.</t>
  </si>
  <si>
    <t>Morunda Group</t>
  </si>
  <si>
    <t>Transport &amp; Logistics</t>
  </si>
  <si>
    <t>NL</t>
  </si>
  <si>
    <t>BBB-</t>
  </si>
  <si>
    <t>Pieter Jansen</t>
  </si>
  <si>
    <t>Medium</t>
  </si>
  <si>
    <t>Ancillary business: FX and cash management</t>
  </si>
  <si>
    <t>MER-0006</t>
  </si>
  <si>
    <t>Helunda Power Europe NV</t>
  </si>
  <si>
    <t>Helunda Group</t>
  </si>
  <si>
    <t>Belgium</t>
  </si>
  <si>
    <t>MER-0007</t>
  </si>
  <si>
    <t>Zangard Energy Europe S.p.A.</t>
  </si>
  <si>
    <t>Zangard Group</t>
  </si>
  <si>
    <t>Italy</t>
  </si>
  <si>
    <t>Milan</t>
  </si>
  <si>
    <t>Marco Bianchi</t>
  </si>
  <si>
    <t>MER-0008</t>
  </si>
  <si>
    <t>Astgard Polymers S.A.</t>
  </si>
  <si>
    <t>Astgard Group</t>
  </si>
  <si>
    <t>Chemicals &amp; Materials</t>
  </si>
  <si>
    <t>Trade Finance</t>
  </si>
  <si>
    <t>BBB+</t>
  </si>
  <si>
    <t>Client exploring bond issuance</t>
  </si>
  <si>
    <t>MER-0009</t>
  </si>
  <si>
    <t>Quoraro Industrial Europe SA</t>
  </si>
  <si>
    <t>Quoraro Group</t>
  </si>
  <si>
    <t>Industrials</t>
  </si>
  <si>
    <t>France</t>
  </si>
  <si>
    <t>Paris</t>
  </si>
  <si>
    <t>Claire Dubois</t>
  </si>
  <si>
    <t>Downgraded: order backlog decline</t>
  </si>
  <si>
    <t>MER-0010</t>
  </si>
  <si>
    <t>Falgard Energy Europe plc</t>
  </si>
  <si>
    <t>Falgard Group</t>
  </si>
  <si>
    <t>United Kingdom</t>
  </si>
  <si>
    <t>London</t>
  </si>
  <si>
    <t>GBP</t>
  </si>
  <si>
    <t>Thomas Brennan</t>
  </si>
  <si>
    <t>MER-0011</t>
  </si>
  <si>
    <t>Corvane Medical Europe plc</t>
  </si>
  <si>
    <t>Corvane Group</t>
  </si>
  <si>
    <t>Revolving Credit Facility</t>
  </si>
  <si>
    <t>Aiko Tanaka</t>
  </si>
  <si>
    <t>MER-0012</t>
  </si>
  <si>
    <t>Varstra Medical Europe S.p.A.</t>
  </si>
  <si>
    <t>Varstra Group</t>
  </si>
  <si>
    <t>MER-0013</t>
  </si>
  <si>
    <t>Ulmmora Components Europe GmbH</t>
  </si>
  <si>
    <t>Ulmmora Group</t>
  </si>
  <si>
    <t>Automotive</t>
  </si>
  <si>
    <t>Guarantee</t>
  </si>
  <si>
    <t>MER-0014</t>
  </si>
  <si>
    <t>Toreon Logistics Ltd</t>
  </si>
  <si>
    <t>Toreon Group</t>
  </si>
  <si>
    <t>Charlotte Hughes</t>
  </si>
  <si>
    <t>MER-0015</t>
  </si>
  <si>
    <t>Zanvant Drivetrain FZE</t>
  </si>
  <si>
    <t>Zanvant Group</t>
  </si>
  <si>
    <t>United Arab Emirates</t>
  </si>
  <si>
    <t>BB</t>
  </si>
  <si>
    <t>MER-0016</t>
  </si>
  <si>
    <t>Astelle Brands N.V.</t>
  </si>
  <si>
    <t>Astelle Group</t>
  </si>
  <si>
    <t>MER-0017</t>
  </si>
  <si>
    <t>Elyunda Logistics S.A.</t>
  </si>
  <si>
    <t>Elyunda Group</t>
  </si>
  <si>
    <t>MER-0018</t>
  </si>
  <si>
    <t>Rynwyn Networks Infra AG</t>
  </si>
  <si>
    <t>Rynwyn Group</t>
  </si>
  <si>
    <t>MER-0019</t>
  </si>
  <si>
    <t>Jorlith Renewables Europe plc</t>
  </si>
  <si>
    <t>Jorlith Group</t>
  </si>
  <si>
    <t>MER-0020</t>
  </si>
  <si>
    <t>MER-0021</t>
  </si>
  <si>
    <t>Ryncast Health Europe SA</t>
  </si>
  <si>
    <t>Ryncast Group</t>
  </si>
  <si>
    <t>MER-0022</t>
  </si>
  <si>
    <t>Belaro Semiconductors Europe SA</t>
  </si>
  <si>
    <t>Belaro Group</t>
  </si>
  <si>
    <t>Technology</t>
  </si>
  <si>
    <t>MER-0023</t>
  </si>
  <si>
    <t>Zandex Networks Europe plc</t>
  </si>
  <si>
    <t>Zandex Group</t>
  </si>
  <si>
    <t>Telecom &amp; Media</t>
  </si>
  <si>
    <t>MER-0024</t>
  </si>
  <si>
    <t>Velaro Software S.A.</t>
  </si>
  <si>
    <t>Velaro Group</t>
  </si>
  <si>
    <t>MER-0025</t>
  </si>
  <si>
    <t>Velvane Properties Ltd</t>
  </si>
  <si>
    <t>Velvane Group</t>
  </si>
  <si>
    <t>Real Estate</t>
  </si>
  <si>
    <t>MER-0026</t>
  </si>
  <si>
    <t>Torunda Infrastructure AG</t>
  </si>
  <si>
    <t>Torunda Group</t>
  </si>
  <si>
    <t>Switzerland</t>
  </si>
  <si>
    <t>MER-0027</t>
  </si>
  <si>
    <t>Tavvant Metals N.V.</t>
  </si>
  <si>
    <t>Tavvant Group</t>
  </si>
  <si>
    <t>The Netherlands</t>
  </si>
  <si>
    <t>MER-0028</t>
  </si>
  <si>
    <t>Arddex Pharma AB</t>
  </si>
  <si>
    <t>Arddex Group</t>
  </si>
  <si>
    <t>MER-0029</t>
  </si>
  <si>
    <t>Fenion Polymers LLC</t>
  </si>
  <si>
    <t>Fenion Group</t>
  </si>
  <si>
    <t>Downgraded: energy costs and lower volumes</t>
  </si>
  <si>
    <t>MER-0030</t>
  </si>
  <si>
    <t>Zanmora Networks Infra AB</t>
  </si>
  <si>
    <t>Zanmora Group</t>
  </si>
  <si>
    <t>MER-0031</t>
  </si>
  <si>
    <t>Belstra Estates Company</t>
  </si>
  <si>
    <t>Belstra Group</t>
  </si>
  <si>
    <t>BB+</t>
  </si>
  <si>
    <t>Downgraded: valuation decline on office assets</t>
  </si>
  <si>
    <t>MER-0032</t>
  </si>
  <si>
    <t>Ardmere Health B.V.</t>
  </si>
  <si>
    <t>Ardmere Group</t>
  </si>
  <si>
    <t>Netherlands</t>
  </si>
  <si>
    <t>MER-0033</t>
  </si>
  <si>
    <t>MER-0034</t>
  </si>
  <si>
    <t>Quorwyn Networks Infra LLC</t>
  </si>
  <si>
    <t>Quorwyn Group</t>
  </si>
  <si>
    <t>MER-0035</t>
  </si>
  <si>
    <t>Ostunda Retail AB</t>
  </si>
  <si>
    <t>Ostunda Group</t>
  </si>
  <si>
    <t>MER-0036</t>
  </si>
  <si>
    <t>MER-0037</t>
  </si>
  <si>
    <t>Iskoro Power Europe B.V.</t>
  </si>
  <si>
    <t>Iskoro Group</t>
  </si>
  <si>
    <t>MER-0038</t>
  </si>
  <si>
    <t>Lumwyn Machinery Ltd</t>
  </si>
  <si>
    <t>Lumwyn Group</t>
  </si>
  <si>
    <t>MER-0039</t>
  </si>
  <si>
    <t>Halunda Industrial Europe plc</t>
  </si>
  <si>
    <t>Halunda Group</t>
  </si>
  <si>
    <t>MER-0040</t>
  </si>
  <si>
    <t>Elydex Rail Europe SAS</t>
  </si>
  <si>
    <t>Elydex Group</t>
  </si>
  <si>
    <t>MER-0041</t>
  </si>
  <si>
    <t>Galdex Estates Europe S.A.</t>
  </si>
  <si>
    <t>Galdex Group</t>
  </si>
  <si>
    <t>MER-0042</t>
  </si>
  <si>
    <t>Iraoro Foods LLC</t>
  </si>
  <si>
    <t>Iraoro Group</t>
  </si>
  <si>
    <t>MER-0043</t>
  </si>
  <si>
    <t>Eldaro Ports S.p.A.</t>
  </si>
  <si>
    <t>Eldaro Group</t>
  </si>
  <si>
    <t>MER-0044</t>
  </si>
  <si>
    <t>Vorwyn Software GmbH</t>
  </si>
  <si>
    <t>Vorwyn Group</t>
  </si>
  <si>
    <t>MER-0045</t>
  </si>
  <si>
    <t>Maveon Chemicals AG</t>
  </si>
  <si>
    <t>Maveon Group</t>
  </si>
  <si>
    <t>MER-0046</t>
  </si>
  <si>
    <t>MER-0047</t>
  </si>
  <si>
    <t>Amend-and-extend under discussion</t>
  </si>
  <si>
    <t>MER-0048</t>
  </si>
  <si>
    <t>Fenvane Broadcasting AG</t>
  </si>
  <si>
    <t>Fenvane Group</t>
  </si>
  <si>
    <t>MER-0049</t>
  </si>
  <si>
    <t>MER-0050</t>
  </si>
  <si>
    <t>Iramora Drivetrain Europe plc</t>
  </si>
  <si>
    <t>Iramora Group</t>
  </si>
  <si>
    <t>MER-0051</t>
  </si>
  <si>
    <t>Keleon Precision FZE</t>
  </si>
  <si>
    <t>Keleon Group</t>
  </si>
  <si>
    <t>MER-0052</t>
  </si>
  <si>
    <t>Rynstra Renewables Europe S.A.</t>
  </si>
  <si>
    <t>Rynstra Group</t>
  </si>
  <si>
    <t>MER-0053</t>
  </si>
  <si>
    <t>Ardwyn Semiconductors Europe N.V.</t>
  </si>
  <si>
    <t>Ardwyn Group</t>
  </si>
  <si>
    <t>MER-0054</t>
  </si>
  <si>
    <t>Elyeon Industrial Europe N.V.</t>
  </si>
  <si>
    <t>Elyeon Group</t>
  </si>
  <si>
    <t>MER-0055</t>
  </si>
  <si>
    <t>MER-0056</t>
  </si>
  <si>
    <t>Kalaro Biosciences Europe plc</t>
  </si>
  <si>
    <t>Kalaro Group</t>
  </si>
  <si>
    <t>MER-0057</t>
  </si>
  <si>
    <t>Tavelle Media plc</t>
  </si>
  <si>
    <t>Tavelle Group</t>
  </si>
  <si>
    <t>MER-0058</t>
  </si>
  <si>
    <t>Talara Media S.A.</t>
  </si>
  <si>
    <t>Talara Group</t>
  </si>
  <si>
    <t>MER-0059</t>
  </si>
  <si>
    <t>Morelle Drivetrain SAS</t>
  </si>
  <si>
    <t>Morelle Group</t>
  </si>
  <si>
    <t>Downgraded: weaker EV demand and margin pressure</t>
  </si>
  <si>
    <t>MER-0060</t>
  </si>
  <si>
    <t>Ardgard Machinery Europe S.p.A.</t>
  </si>
  <si>
    <t>Ardgard Group</t>
  </si>
  <si>
    <t>MER-0061</t>
  </si>
  <si>
    <t>Vorgard Energy plc</t>
  </si>
  <si>
    <t>Vorgard Group</t>
  </si>
  <si>
    <t>MER-0062</t>
  </si>
  <si>
    <t>Orvholm Biosciences Europe GmbH</t>
  </si>
  <si>
    <t>Orvholm Group</t>
  </si>
  <si>
    <t>MER-0063</t>
  </si>
  <si>
    <t>Weseon Shipping FZE</t>
  </si>
  <si>
    <t>Weseon Group</t>
  </si>
  <si>
    <t>MER-0064</t>
  </si>
  <si>
    <t>Briaro Chemicals AB</t>
  </si>
  <si>
    <t>Briaro Group</t>
  </si>
  <si>
    <t>MER-0065</t>
  </si>
  <si>
    <t>Sevholm Networks Ltd</t>
  </si>
  <si>
    <t>Sevholm Group</t>
  </si>
  <si>
    <t>Sustainability-linked KPIs on track</t>
  </si>
  <si>
    <t>MER-0066</t>
  </si>
  <si>
    <t>Zanstra Systems NV</t>
  </si>
  <si>
    <t>Zanstra Group</t>
  </si>
  <si>
    <t>MER-0067</t>
  </si>
  <si>
    <t>Nerunda Real Estate Europe Ltd</t>
  </si>
  <si>
    <t>Nerunda Group</t>
  </si>
  <si>
    <t>MER-0068</t>
  </si>
  <si>
    <t>Drevanta Automotive Components GmbH</t>
  </si>
  <si>
    <t>Drevanta Group</t>
  </si>
  <si>
    <t>CCC</t>
  </si>
  <si>
    <t>B+</t>
  </si>
  <si>
    <t>Restructuring in progress; specific provision raised in Q3 2026</t>
  </si>
  <si>
    <t>MER-0069</t>
  </si>
  <si>
    <t>Nerstra Engineering Ltd</t>
  </si>
  <si>
    <t>Nerstra Group</t>
  </si>
  <si>
    <t>MER-0070</t>
  </si>
  <si>
    <t>Brivant Networks Infra Europe S.A.</t>
  </si>
  <si>
    <t>Brivant Group</t>
  </si>
  <si>
    <t>MER-0071</t>
  </si>
  <si>
    <t>Ulmtide Rail Company</t>
  </si>
  <si>
    <t>Ulmtide Group</t>
  </si>
  <si>
    <t>MER-0072</t>
  </si>
  <si>
    <t>MER-0073</t>
  </si>
  <si>
    <t>MER-0074</t>
  </si>
  <si>
    <t>Falstra Utilities Europe N.V.</t>
  </si>
  <si>
    <t>Falstra Group</t>
  </si>
  <si>
    <t>MER-0075</t>
  </si>
  <si>
    <t>Heldex Networks Europe GmbH</t>
  </si>
  <si>
    <t>Heldex Group</t>
  </si>
  <si>
    <t>MER-0076</t>
  </si>
  <si>
    <t>MER-0077</t>
  </si>
  <si>
    <t>Lumgard Metals Ltd</t>
  </si>
  <si>
    <t>Lumgard Group</t>
  </si>
  <si>
    <t>MER-0078</t>
  </si>
  <si>
    <t>Vargard Industrial S.p.A.</t>
  </si>
  <si>
    <t>Vargard Group</t>
  </si>
  <si>
    <t>MER-0079</t>
  </si>
  <si>
    <t>MER-0080</t>
  </si>
  <si>
    <t>Nervant Machinery Europe S.p.A.</t>
  </si>
  <si>
    <t>Nervant Group</t>
  </si>
  <si>
    <t>MER-0081</t>
  </si>
  <si>
    <t>MER-0082</t>
  </si>
  <si>
    <t>Fenoro Digital AG</t>
  </si>
  <si>
    <t>Fenoro Group</t>
  </si>
  <si>
    <t>MER-0083</t>
  </si>
  <si>
    <t>Morcast Media Europe plc</t>
  </si>
  <si>
    <t>Morcast Group</t>
  </si>
  <si>
    <t>MER-0084</t>
  </si>
  <si>
    <t>Pelaro Automotive SA</t>
  </si>
  <si>
    <t>Pelaro Group</t>
  </si>
  <si>
    <t>MER-0085</t>
  </si>
  <si>
    <t>Briara Drivetrain SA</t>
  </si>
  <si>
    <t>Briara Group</t>
  </si>
  <si>
    <t>MER-0086</t>
  </si>
  <si>
    <t>MER-0087</t>
  </si>
  <si>
    <t>Cormora Technologies Company</t>
  </si>
  <si>
    <t>Cormora Group</t>
  </si>
  <si>
    <t>MER-0088</t>
  </si>
  <si>
    <t>MER-0089</t>
  </si>
  <si>
    <t>MER-0090</t>
  </si>
  <si>
    <t>Wesion Semiconductors AG</t>
  </si>
  <si>
    <t>Wesion Group</t>
  </si>
  <si>
    <t>MER-0091</t>
  </si>
  <si>
    <t>Tavgard Chemicals Europe AG</t>
  </si>
  <si>
    <t>Tavgard Group</t>
  </si>
  <si>
    <t>MER-0092</t>
  </si>
  <si>
    <t>Vortide Automotive Company</t>
  </si>
  <si>
    <t>Vortide Group</t>
  </si>
  <si>
    <t>MER-0093</t>
  </si>
  <si>
    <t>MER-0094</t>
  </si>
  <si>
    <t>MER-0095</t>
  </si>
  <si>
    <t>MER-0096</t>
  </si>
  <si>
    <t>Beltide Freight Europe AG</t>
  </si>
  <si>
    <t>Beltide Group</t>
  </si>
  <si>
    <t>Downgraded: lower freight rates</t>
  </si>
  <si>
    <t>MER-0123</t>
  </si>
  <si>
    <t>MER-0097</t>
  </si>
  <si>
    <t>Mavunda Energy AG</t>
  </si>
  <si>
    <t>Mavunda Group</t>
  </si>
  <si>
    <t>MER-0098</t>
  </si>
  <si>
    <t>Dramora Precision Europe Ltd</t>
  </si>
  <si>
    <t>Dramora Group</t>
  </si>
  <si>
    <t>MER-0099</t>
  </si>
  <si>
    <t>Iravane Ports Company</t>
  </si>
  <si>
    <t>Iravane Group</t>
  </si>
  <si>
    <t>MER-0100</t>
  </si>
  <si>
    <t>Velunda Brands Europe AG</t>
  </si>
  <si>
    <t>Velunda Group</t>
  </si>
  <si>
    <t>MER-0101</t>
  </si>
  <si>
    <t>Galcast Transit SAS</t>
  </si>
  <si>
    <t>Galcast Group</t>
  </si>
  <si>
    <t>MER-0102</t>
  </si>
  <si>
    <t>MER-0103</t>
  </si>
  <si>
    <t>Vorholm Chemicals Europe SAS</t>
  </si>
  <si>
    <t>Vorholm Group</t>
  </si>
  <si>
    <t>MER-0104</t>
  </si>
  <si>
    <t>MER-0105</t>
  </si>
  <si>
    <t>Ardholm Industrial Europe N.V.</t>
  </si>
  <si>
    <t>Ardholm Group</t>
  </si>
  <si>
    <t>MER-0106</t>
  </si>
  <si>
    <t>MER-0107</t>
  </si>
  <si>
    <t>Fabrikam Middle East FZE</t>
  </si>
  <si>
    <t>Fabrikam Industries Group</t>
  </si>
  <si>
    <t>MER-0108</t>
  </si>
  <si>
    <t>MER-0109</t>
  </si>
  <si>
    <t>Refinancing discussions expected in 2027</t>
  </si>
  <si>
    <t>MER-0110</t>
  </si>
  <si>
    <t>MER-0111</t>
  </si>
  <si>
    <t>Grystra Ports Ltd</t>
  </si>
  <si>
    <t>Grystra Group</t>
  </si>
  <si>
    <t>MER-0112</t>
  </si>
  <si>
    <t>MER-0113</t>
  </si>
  <si>
    <t>MER-0114</t>
  </si>
  <si>
    <t>MER-0115</t>
  </si>
  <si>
    <t>Draion Infrastructure S.A.</t>
  </si>
  <si>
    <t>Draion Group</t>
  </si>
  <si>
    <t>MER-0116</t>
  </si>
  <si>
    <t>Sylwyn Systems AG</t>
  </si>
  <si>
    <t>Sylwyn Group</t>
  </si>
  <si>
    <t>MER-0117</t>
  </si>
  <si>
    <t>Ostelle Renewables NV</t>
  </si>
  <si>
    <t>Ostelle Group</t>
  </si>
  <si>
    <t>MER-0118</t>
  </si>
  <si>
    <t>Kelstra Biosciences S.A.</t>
  </si>
  <si>
    <t>Kelstra Group</t>
  </si>
  <si>
    <t>MER-0119</t>
  </si>
  <si>
    <t>Sevgard Brands N.V.</t>
  </si>
  <si>
    <t>Sevgard Group</t>
  </si>
  <si>
    <t>MER-0120</t>
  </si>
  <si>
    <t>Falcast Real Estate Europe N.V.</t>
  </si>
  <si>
    <t>Falcast Group</t>
  </si>
  <si>
    <t>MER-0121</t>
  </si>
  <si>
    <t>MER-0122</t>
  </si>
  <si>
    <t>Pelstra Foods B.V.</t>
  </si>
  <si>
    <t>Pelstra Group</t>
  </si>
  <si>
    <t>MER-0124</t>
  </si>
  <si>
    <t>MER-0125</t>
  </si>
  <si>
    <t>Orvunda Logistics Europe Ltd</t>
  </si>
  <si>
    <t>Orvunda Group</t>
  </si>
  <si>
    <t>MER-0126</t>
  </si>
  <si>
    <t>MER-0127</t>
  </si>
  <si>
    <t>Jororo Networks Infra Europe N.V.</t>
  </si>
  <si>
    <t>Jororo Group</t>
  </si>
  <si>
    <t>MER-0128</t>
  </si>
  <si>
    <t>Rynara Automotive Europe B.V.</t>
  </si>
  <si>
    <t>Rynara Group</t>
  </si>
  <si>
    <t>MER-0129</t>
  </si>
  <si>
    <t>MER-0130</t>
  </si>
  <si>
    <t>MER-0131</t>
  </si>
  <si>
    <t>Tavion Utilities plc</t>
  </si>
  <si>
    <t>Tavion Group</t>
  </si>
  <si>
    <t>MER-0132</t>
  </si>
  <si>
    <t>MER-0133</t>
  </si>
  <si>
    <t>MER-0134</t>
  </si>
  <si>
    <t>Sevaro Networks AB</t>
  </si>
  <si>
    <t>Sevaro Group</t>
  </si>
  <si>
    <t>MER-0135</t>
  </si>
  <si>
    <t>Grylith Foods Europe Ltd</t>
  </si>
  <si>
    <t>Grylith Group</t>
  </si>
  <si>
    <t>MER-0136</t>
  </si>
  <si>
    <t>Fabrikam Europe GmbH</t>
  </si>
  <si>
    <t>Long-standing relationship; annual review completed March 2026</t>
  </si>
  <si>
    <t>MER-0137</t>
  </si>
  <si>
    <t>MER-0138</t>
  </si>
  <si>
    <t>Briunda Real Estate plc</t>
  </si>
  <si>
    <t>Briunda Group</t>
  </si>
  <si>
    <t>MER-0139</t>
  </si>
  <si>
    <t>MER-0140</t>
  </si>
  <si>
    <t>Draeon Transit Europe S.A.</t>
  </si>
  <si>
    <t>Draeon Group</t>
  </si>
  <si>
    <t>MER-0141</t>
  </si>
  <si>
    <t>Lumaro Energy SAS</t>
  </si>
  <si>
    <t>Lumaro Group</t>
  </si>
  <si>
    <t>MER-0142</t>
  </si>
  <si>
    <t>Corara Freight Europe S.A.</t>
  </si>
  <si>
    <t>Corara Group</t>
  </si>
  <si>
    <t>MER-0143</t>
  </si>
  <si>
    <t>MER-0144</t>
  </si>
  <si>
    <t>Gryaro Brands AB</t>
  </si>
  <si>
    <t>Gryaro Group</t>
  </si>
  <si>
    <t>BB-</t>
  </si>
  <si>
    <t>Downgraded: weaker consumer demand</t>
  </si>
  <si>
    <t>MER-0145</t>
  </si>
  <si>
    <t>Quorgard Drivetrain Europe AG</t>
  </si>
  <si>
    <t>Quorgard Group</t>
  </si>
  <si>
    <t>MER-0146</t>
  </si>
  <si>
    <t>MER-0147</t>
  </si>
  <si>
    <t>Brimora Materials plc</t>
  </si>
  <si>
    <t>Brimora Group</t>
  </si>
  <si>
    <t>MER-0148</t>
  </si>
  <si>
    <t>MER-0149</t>
  </si>
  <si>
    <t>Veltide Brands Europe B.V.</t>
  </si>
  <si>
    <t>Veltide Group</t>
  </si>
  <si>
    <t>MER-0150</t>
  </si>
  <si>
    <t>Gryoro Automotive Europe plc</t>
  </si>
  <si>
    <t>Gryoro Group</t>
  </si>
  <si>
    <t>EMEA Corporate Portfolio – quarterly trend, Q4 2024 to Q3 2026</t>
  </si>
  <si>
    <t>FICTIONAL – FOR TRAINING USE ONLY   |   EUR millions   |   Calendar quarters (Q3 2026 = July–September 2026)   |   Balances at quarter end; revenue and impairment for the quarter</t>
  </si>
  <si>
    <t>Quarter</t>
  </si>
  <si>
    <t>Total_Commitments_EURm</t>
  </si>
  <si>
    <t>Revenue_EURm</t>
  </si>
  <si>
    <t>Impairment_Charge_EURm</t>
  </si>
  <si>
    <t>Stage2_Exposure_EURm</t>
  </si>
  <si>
    <t>Stage3_Exposure_EURm</t>
  </si>
  <si>
    <t>Industrials_Share_pct</t>
  </si>
  <si>
    <t>Watch_List_Count</t>
  </si>
  <si>
    <t>Number_of_Clients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</si>
  <si>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</si>
  <si>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</si>
  <si>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</si>
  <si>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</si>
  <si>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</si>
  <si>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</si>
  <si>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</si>
  <si>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</si>
  <si>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Risk appetite – sector concentration and single-name limits</t>
  </si>
  <si>
    <t>FICTIONAL – FOR TRAINING USE ONLY   |   Shares and limits in percentage points of total commitments (13.61 = 13.61%)   |   Current figures update live from tblPortfolio</t>
  </si>
  <si>
    <t>Limit_pct</t>
  </si>
  <si>
    <t>Early_Warning_pct</t>
  </si>
  <si>
    <t>Current_Commitments_EURm</t>
  </si>
  <si>
    <t>Current_Share_pct</t>
  </si>
  <si>
    <t>Status</t>
  </si>
  <si>
    <t>Single-name (group) limits by internal rating band (EUR millions)</t>
  </si>
  <si>
    <t>Rating_Band</t>
  </si>
  <si>
    <t>Single_Name_Group_Limit_EURm</t>
  </si>
  <si>
    <t>A band (A+ to A-)</t>
  </si>
  <si>
    <t>BBB band (BBB+ to BBB-)</t>
  </si>
  <si>
    <t>BB band (BB+ to BB-)</t>
  </si>
  <si>
    <t>B and below</t>
  </si>
  <si>
    <t>Pipeline – deals expected to close in Q4 2026 to Q1 2027</t>
  </si>
  <si>
    <t>FICTIONAL – FOR TRAINING USE ONLY   |   Expected MUFG final hold in EUR millions   |   High-probability deals: Probability_pct of 70 or more</t>
  </si>
  <si>
    <t>Deal_Name</t>
  </si>
  <si>
    <t>Client</t>
  </si>
  <si>
    <t>Expected_Hold_EURm</t>
  </si>
  <si>
    <t>Hold_Range_EURm</t>
  </si>
  <si>
    <t>Expected_Close</t>
  </si>
  <si>
    <t>Probability_pct</t>
  </si>
  <si>
    <t>Project Meridian</t>
  </si>
  <si>
    <t>Term Loan + RCF (acquisition financing)</t>
  </si>
  <si>
    <t>200-300</t>
  </si>
  <si>
    <t>Q4 2026 (signing)</t>
  </si>
  <si>
    <t>Indicative proposal in preparation</t>
  </si>
  <si>
    <t>Project Atlas</t>
  </si>
  <si>
    <t>Tavmora Systems AG</t>
  </si>
  <si>
    <t>Q4 2026</t>
  </si>
  <si>
    <t>Credit approved - documentation</t>
  </si>
  <si>
    <t>Project Fjord</t>
  </si>
  <si>
    <t>Halvane Machinery AB</t>
  </si>
  <si>
    <t>Q1 2027</t>
  </si>
  <si>
    <t>Mandate won</t>
  </si>
  <si>
    <t>Project Solace</t>
  </si>
  <si>
    <t>Astwyn Renewables S.A.</t>
  </si>
  <si>
    <t>Project Harbour</t>
  </si>
  <si>
    <t>Galmere Ports N.V.</t>
  </si>
  <si>
    <t>Project Remedy</t>
  </si>
  <si>
    <t>Lyrholm Biosciences Europe B.V.</t>
  </si>
  <si>
    <t>Under negotiation</t>
  </si>
  <si>
    <t>Project Signal</t>
  </si>
  <si>
    <t>Torwyn Networks plc</t>
  </si>
  <si>
    <t>Project Gear</t>
  </si>
  <si>
    <t>Quorholm Mobility S.p.A.</t>
  </si>
  <si>
    <t>Early discussions</t>
  </si>
  <si>
    <t>Project Quay</t>
  </si>
  <si>
    <t>Morvista Properties Ltd</t>
  </si>
  <si>
    <t>Indicative terms sent</t>
  </si>
  <si>
    <t>Project Harvest</t>
  </si>
  <si>
    <t>Belunda Foods SAS</t>
  </si>
  <si>
    <t>Project Forge</t>
  </si>
  <si>
    <t>Velgard Engineering GmbH</t>
  </si>
  <si>
    <t>Data dictionary – EMEA Corporate Portfolio – Q3 2026 Review</t>
  </si>
  <si>
    <t>FICTIONAL – FOR TRAINING USE ONLY   |   As of 30 September 2026   |   Amounts in EUR millions   |   Percentages in percentage points (13.61 = 13.61%)</t>
  </si>
  <si>
    <t>Sheet</t>
  </si>
  <si>
    <t>Table</t>
  </si>
  <si>
    <t>Column</t>
  </si>
  <si>
    <t>Definition</t>
  </si>
  <si>
    <t>Unit_or_Format</t>
  </si>
  <si>
    <t>Portfolio_Exposures</t>
  </si>
  <si>
    <t>tblPortfolio</t>
  </si>
  <si>
    <t>Unique reference for each credit facility (format MER-0001). Each facility should appear only once.</t>
  </si>
  <si>
    <t>Text</t>
  </si>
  <si>
    <t>Name of the borrowing company (fictional). One client can have several facilities.</t>
  </si>
  <si>
    <t>Client group (parent company and its subsidiaries) that the borrower belongs to. Single-name (group) limits apply at this level.</t>
  </si>
  <si>
    <t>Client segment: Japanese Corporates (Japanese-headquartered groups doing business in EMEA) or Global Corporates (other corporate clients).</t>
  </si>
  <si>
    <t>Industry sector of the client. Sector concentration limits are set per sector (see Risk_Appetite_Limits).</t>
  </si>
  <si>
    <t>Country where the borrower is based.</t>
  </si>
  <si>
    <t>MUFG EMEA office where the facility is booked (London, Amsterdam, Düsseldorf, Paris, Madrid, Milan or Dubai).</t>
  </si>
  <si>
    <t>Type of facility: Term Loan, Revolving Credit Facility (RCF: a credit line the client can draw, repay and draw again), Project Finance, Trade Finance or Guarantee.</t>
  </si>
  <si>
    <t>Original currency of the facility (EUR, USD or GBP). All amounts in this workbook are shown in EUR millions.</t>
  </si>
  <si>
    <t>Currency code</t>
  </si>
  <si>
    <t>Commitment: the maximum the bank has agreed to lend under the facility.</t>
  </si>
  <si>
    <t>EUR millions</t>
  </si>
  <si>
    <t>Drawn: the amount the client has actually borrowed at 30 September 2026. It cannot normally exceed the commitment. Utilisation = drawn ÷ commitment.</t>
  </si>
  <si>
    <t>Internal rating at 30 September 2026: the bank's own credit grade, from A+ (best) to CCC (weakest).</t>
  </si>
  <si>
    <t>Rating grade</t>
  </si>
  <si>
    <t>Internal rating at the end of the previous quarter (30 June 2026). Compare with Rating_Grade to find upgrades and downgrades.</t>
  </si>
  <si>
    <t>Accounting bucket for loan quality under IFRS 9 (simplified for training): 1 = performing; 2 = significant increase in credit risk; 3 = credit-impaired.</t>
  </si>
  <si>
    <t>Whole number (1, 2 or 3)</t>
  </si>
  <si>
    <t>Y = the facility is on the watch list (names under closer monitoring); N = not on the watch list.</t>
  </si>
  <si>
    <t>Y / N</t>
  </si>
  <si>
    <t>Interest margin the client pays above the reference interest rate, in basis points (100 bps = 1%).</t>
  </si>
  <si>
    <t>Basis points</t>
  </si>
  <si>
    <t>Risk-weighted assets: the exposure adjusted for risk. RWA drives how much capital the bank must hold.</t>
  </si>
  <si>
    <t>Expected revenue from the facility over a full year: interest margin on the drawn amount plus fees (zero for a credit-impaired facility). RoRWA (return on RWA) = annual revenue ÷ RWA.</t>
  </si>
  <si>
    <t>EUR millions per year</t>
  </si>
  <si>
    <t>Date on which the facility ends and must be repaid.</t>
  </si>
  <si>
    <t>Date (dd-mmm-yyyy)</t>
  </si>
  <si>
    <t>Date of the last annual credit review of the client. A review more than 12 months before 30 September 2026 is overdue.</t>
  </si>
  <si>
    <t>MUFG relationship manager responsible for the client (fictional).</t>
  </si>
  <si>
    <t>Y = the facility's margin is linked to the client meeting sustainability (ESG) targets; N = not linked.</t>
  </si>
  <si>
    <t>Environmental, social and governance (ESG) risk assessment of the client: Low, Medium or High.</t>
  </si>
  <si>
    <t>Low / Medium / High</t>
  </si>
  <si>
    <t>Free-text note from the relationship manager or credit team; blank if there is no comment.</t>
  </si>
  <si>
    <t>Quarterly_Trend</t>
  </si>
  <si>
    <t>tblTrend</t>
  </si>
  <si>
    <t>Calendar quarter (for example Q3 2026 = July to September 2026). Balances are measured at quarter end.</t>
  </si>
  <si>
    <t>Total commitments in the portfolio at quarter end (the maximum the bank has agreed to lend).</t>
  </si>
  <si>
    <t>Total amount drawn (actually borrowed) at quarter end.</t>
  </si>
  <si>
    <t>Total risk-weighted assets at quarter end.</t>
  </si>
  <si>
    <t>Revenue earned from the portfolio during the quarter.</t>
  </si>
  <si>
    <t>EUR millions per quarter</t>
  </si>
  <si>
    <t>Credit impairment charge (provisions for expected loan losses) booked during the quarter.</t>
  </si>
  <si>
    <t>Commitments of facilities in IFRS 9 Stage 2 (significant increase in credit risk) at quarter end.</t>
  </si>
  <si>
    <t>Commitments of facilities in IFRS 9 Stage 3 (credit-impaired) at quarter end.</t>
  </si>
  <si>
    <t>Industrials commitments as a share of total commitments at quarter end, in percentage points (13.61 = 13.61%).</t>
  </si>
  <si>
    <t>Percentage points</t>
  </si>
  <si>
    <t>Number of facilities on the watch list at quarter end.</t>
  </si>
  <si>
    <t>Count</t>
  </si>
  <si>
    <t>Number of clients in the portfolio at quarter end.</t>
  </si>
  <si>
    <t>Risk_Appetite_Limits</t>
  </si>
  <si>
    <t>tblLimits</t>
  </si>
  <si>
    <t>Industry sector (same sector names as in Portfolio_Exposures).</t>
  </si>
  <si>
    <t>Sector concentration limit: the maximum share of total commitments allowed in the sector.</t>
  </si>
  <si>
    <t>Early-warning level: when a sector's share reaches this level it is flagged for attention before the limit is reached.</t>
  </si>
  <si>
    <t>Live formula: total Commitment_EURm for the sector in tblPortfolio (SUMIFS). Updates automatically when the portfolio data changes.</t>
  </si>
  <si>
    <t>Live formula: Current_Commitments_EURm ÷ total commitments in tblPortfolio × 100.</t>
  </si>
  <si>
    <t>Percentage points (2 decimals)</t>
  </si>
  <si>
    <t>Live formula: "Breach" if the share is above the limit; "Early warning" if it is at or above the early-warning level; otherwise "Within appetite".</t>
  </si>
  <si>
    <t>tblSingleName</t>
  </si>
  <si>
    <t>Internal rating band of the client group.</t>
  </si>
  <si>
    <t>Single-name (group) limit: the maximum total commitments allowed to one client group in this rating band.</t>
  </si>
  <si>
    <t>Pipeline</t>
  </si>
  <si>
    <t>tblPipeline</t>
  </si>
  <si>
    <t>Internal project name for the expected deal.</t>
  </si>
  <si>
    <t>Prospective borrower (fictional).</t>
  </si>
  <si>
    <t>Industry sector of the client (same sector names as in Portfolio_Exposures).</t>
  </si>
  <si>
    <t>Client segment: Japanese Corporates or Global Corporates.</t>
  </si>
  <si>
    <t>Type of facility expected.</t>
  </si>
  <si>
    <t>Final hold: the part of the loan MUFG expects to keep on its own books if the deal closes.</t>
  </si>
  <si>
    <t>Range of final hold being considered (a single number where there is no range).</t>
  </si>
  <si>
    <t>Calendar quarter in which the deal is expected to close (or sign).</t>
  </si>
  <si>
    <t>Estimated probability that the deal closes. High-probability deals are those at 70% or more.</t>
  </si>
  <si>
    <t>Percent (0 to 100)</t>
  </si>
  <si>
    <t>Expected internal rating of the borrower (A+ best to CCC weakest).</t>
  </si>
  <si>
    <t>Expected interest margin, in basis points (100 bps = 1%).</t>
  </si>
  <si>
    <t>Current stage of the deal.</t>
  </si>
  <si>
    <t>About this workbook – EMEA Corporate Portfolio – Q3 2026 Review</t>
  </si>
  <si>
    <t>FICTIONAL – FOR TRAINING USE ONLY</t>
  </si>
  <si>
    <t>Item</t>
  </si>
  <si>
    <t>Details</t>
  </si>
  <si>
    <t>Purpose</t>
  </si>
  <si>
    <t>Fictional training data for MUFG EMEA Microsoft 365 Copilot sessions (Project Meridian scenario). All clients, people, deals and figures are fictional; the workbook contains no real client or MUFG data and must not be used for business decisions.</t>
  </si>
  <si>
    <t>As-of date</t>
  </si>
  <si>
    <t>30 September 2026. Quarters are calendar quarters (Q3 2026 = July–September 2026).</t>
  </si>
  <si>
    <t>Units</t>
  </si>
  <si>
    <t>Amounts in EUR millions. Percentages are stored as percentage points (13.61 means 13.61%). IFRS 9 stages are simplified for training.</t>
  </si>
  <si>
    <t>Facility-level extract of the EMEA corporate portfolio at 30 September 2026 (table tblPortfolio), exactly as received from the source system. Check data quality before analysing.</t>
  </si>
  <si>
    <t>Portfolio-level figures for the last eight calendar quarters, Q4 2024 to Q3 2026 (table tblTrend): commitments, drawn, RWA, revenue, impairment, Stage 2 and Stage 3 exposure, Industrials share, watch list and number of clients.</t>
  </si>
  <si>
    <t>Sector concentration limits and early-warning levels, with live formulas that calculate each sector's current share of commitments from Portfolio_Exposures and its status (table tblLimits). Below it: single-name (group) limits by internal rating band (table tblSingleName).</t>
  </si>
  <si>
    <t>Deals expected to close in Q4 2026 to Q1 2027, including Project Meridian (table tblPipeline).</t>
  </si>
  <si>
    <t>Data_Dictionary</t>
  </si>
  <si>
    <t>Plain-language definition and unit of every column in the tables above (table tblDictionary).</t>
  </si>
  <si>
    <t>About</t>
  </si>
  <si>
    <t>This note.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</si>
</sst>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dd\-mmm\-yyyy"/>
    <numFmt numFmtId="166" formatCode="0.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EF1F8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  <xf numFmtId="3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/>
    <xf numFmtId="1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6" fillId="0" borderId="0" xfId="0" applyFont="1"/>
    <xf numFmtId="0" fontId="0" fillId="0" borderId="5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</cellXfs>
  <cellStyles count="1">
    <cellStyle name="Normal" xfId="0" builtinId="0"/>
  </cellStyles>
  <dxfs count="51"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font>
        <b/>
        <color rgb="FFFFFFFF"/>
      </font>
      <fill>
        <patternFill patternType="solid">
          <fgColor indexed="64"/>
          <bgColor rgb="FF1F3864"/>
        </patternFill>
      </fill>
      <alignment horizontal="center" vertical="center"/>
    </dxf>
    <dxf>
      <numFmt numFmtId="1" formatCode="0"/>
    </dxf>
    <dxf>
      <alignment horizontal="center"/>
    </dxf>
    <dxf>
      <numFmt numFmtId="1" formatCode="0"/>
    </dxf>
    <dxf>
      <numFmt numFmtId="1" formatCode="0"/>
      <alignment horizontal="right"/>
    </dxf>
    <dxf>
      <numFmt numFmtId="3" formatCode="#,##0"/>
    </dxf>
    <dxf>
      <font>
        <b/>
        <color rgb="FFFFFFFF"/>
      </font>
      <fill>
        <patternFill patternType="solid">
          <fgColor indexed="64"/>
          <bgColor rgb="FF1F3864"/>
        </patternFill>
      </fill>
      <alignment horizontal="center" vertical="center"/>
    </dxf>
    <dxf>
      <numFmt numFmtId="3" formatCode="#,##0"/>
    </dxf>
    <dxf>
      <font>
        <b/>
        <color rgb="FFFFFFFF"/>
      </font>
      <fill>
        <patternFill patternType="solid">
          <fgColor indexed="64"/>
          <bgColor rgb="FF1F3864"/>
        </patternFill>
      </fill>
      <alignment horizontal="center" vertical="center"/>
    </dxf>
    <dxf>
      <numFmt numFmtId="0" formatCode="General"/>
      <alignment horizontal="center"/>
    </dxf>
    <dxf>
      <numFmt numFmtId="2" formatCode="0.00"/>
    </dxf>
    <dxf>
      <numFmt numFmtId="164" formatCode="#,##0.0"/>
    </dxf>
    <dxf>
      <numFmt numFmtId="2" formatCode="0.00"/>
    </dxf>
    <dxf>
      <numFmt numFmtId="2" formatCode="0.00"/>
    </dxf>
    <dxf>
      <font>
        <b/>
        <color rgb="FFFFFFFF"/>
      </font>
      <fill>
        <patternFill patternType="solid">
          <fgColor indexed="64"/>
          <bgColor rgb="FF1F3864"/>
        </patternFill>
      </fill>
      <alignment horizontal="center" vertical="center"/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numFmt numFmtId="1" formatCode="0"/>
    </dxf>
    <dxf>
      <numFmt numFmtId="1" formatCode="0"/>
    </dxf>
    <dxf>
      <numFmt numFmtId="2" formatCode="0.00"/>
    </dxf>
    <dxf>
      <numFmt numFmtId="3" formatCode="#,##0"/>
    </dxf>
    <dxf>
      <numFmt numFmtId="3" formatCode="#,##0"/>
    </dxf>
    <dxf>
      <numFmt numFmtId="166" formatCode="0.0"/>
    </dxf>
    <dxf>
      <numFmt numFmtId="166" formatCode="0.0"/>
    </dxf>
    <dxf>
      <numFmt numFmtId="3" formatCode="#,##0"/>
    </dxf>
    <dxf>
      <numFmt numFmtId="3" formatCode="#,##0"/>
    </dxf>
    <dxf>
      <numFmt numFmtId="3" formatCode="#,##0"/>
    </dxf>
    <dxf>
      <alignment horizontal="left"/>
    </dxf>
    <dxf>
      <font>
        <b/>
        <color rgb="FFFFFFFF"/>
      </font>
      <fill>
        <patternFill patternType="solid">
          <fgColor indexed="64"/>
          <bgColor rgb="FF1F3864"/>
        </patternFill>
      </fill>
      <alignment horizontal="center" vertical="center"/>
    </dxf>
    <dxf>
      <alignment horizontal="center"/>
    </dxf>
    <dxf>
      <alignment horizontal="center"/>
    </dxf>
    <dxf>
      <numFmt numFmtId="165" formatCode="dd\-mmm\-yyyy"/>
    </dxf>
    <dxf>
      <numFmt numFmtId="165" formatCode="dd\-mmm\-yyyy"/>
    </dxf>
    <dxf>
      <numFmt numFmtId="2" formatCode="0.00"/>
    </dxf>
    <dxf>
      <numFmt numFmtId="164" formatCode="#,##0.0"/>
    </dxf>
    <dxf>
      <numFmt numFmtId="1" formatCode="0"/>
    </dxf>
    <dxf>
      <alignment horizontal="center"/>
    </dxf>
    <dxf>
      <numFmt numFmtId="1" formatCode="0"/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4" formatCode="#,##0.0"/>
    </dxf>
    <dxf>
      <alignment horizontal="center"/>
    </dxf>
    <dxf>
      <font>
        <b/>
        <color rgb="FFFFFFFF"/>
      </font>
      <fill>
        <patternFill patternType="solid">
          <fgColor indexed="64"/>
          <bgColor rgb="FF1F3864"/>
        </patternFill>
      </fill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F89E0-983B-4454-AE8F-243D13CC6E31}" name="tblPortfolio" displayName="tblPortfolio" ref="A1:X152" totalsRowShown="0" headerRowDxfId="50">
  <autoFilter ref="A1:X152" xr:uid="{1A5F89E0-983B-4454-AE8F-243D13CC6E31}"/>
  <tableColumns count="24">
    <tableColumn id="1" xr3:uid="{30E66CE6-67E0-4E7B-8F11-13D73C1FBFAB}" name="Facility_ID"/>
    <tableColumn id="2" xr3:uid="{BFD64126-0DA9-4E8A-A8C9-0F3E0C8DBDA7}" name="Client_Name"/>
    <tableColumn id="3" xr3:uid="{BAA54141-D642-4C54-BEAC-1040A12ABB88}" name="Group_Name"/>
    <tableColumn id="4" xr3:uid="{80906FFE-F8E4-4C76-BE63-909E280392DC}" name="Segment"/>
    <tableColumn id="5" xr3:uid="{2D176227-14D4-4159-9CAA-4EBC12ECF691}" name="Sector"/>
    <tableColumn id="6" xr3:uid="{7349D816-6FC5-4347-9D46-CCD8857608CA}" name="Country"/>
    <tableColumn id="7" xr3:uid="{E0B3EDA6-1EA8-4ED3-88DB-DB14BF8933C0}" name="Booking_Location"/>
    <tableColumn id="8" xr3:uid="{BAF13668-13C1-449D-AF2C-DDC4B6A8EFA7}" name="Facility_Type"/>
    <tableColumn id="9" xr3:uid="{278A9C5C-9D0A-4305-AD2C-521155C037EC}" name="Currency" dataDxfId="49"/>
    <tableColumn id="10" xr3:uid="{11CCC266-DFEF-4FF8-81D2-BA567AD5442D}" name="Commitment_EURm" dataDxfId="48"/>
    <tableColumn id="11" xr3:uid="{A23DB84C-CE3D-44F5-A5F9-9EA28E4A7AB2}" name="Drawn_EURm" dataDxfId="47"/>
    <tableColumn id="12" xr3:uid="{EC48EB84-87F1-4EEC-BA6A-BF86CF2E8EAB}" name="Rating_Grade" dataDxfId="46"/>
    <tableColumn id="13" xr3:uid="{CC1EE818-E6FE-48C8-AE03-295D3E7397D0}" name="Prior_Quarter_Rating" dataDxfId="45"/>
    <tableColumn id="14" xr3:uid="{5D685433-014A-40C3-AD82-55754AC5CDAA}" name="IFRS9_Stage" dataDxfId="44"/>
    <tableColumn id="15" xr3:uid="{CB0E659A-DD2A-4F65-B8FA-9BCCD1F3ADFB}" name="Watch_List" dataDxfId="43"/>
    <tableColumn id="16" xr3:uid="{08D63164-434A-496A-ACB6-D20BCF8F5433}" name="Margin_bps" dataDxfId="42"/>
    <tableColumn id="17" xr3:uid="{F6AECED7-EDE4-4E80-BD42-74940E5ECB12}" name="RWA_EURm" dataDxfId="41"/>
    <tableColumn id="18" xr3:uid="{0E2EDCB0-0156-4938-AC0C-299D2982048F}" name="Annualised_Revenue_EURm" dataDxfId="40"/>
    <tableColumn id="19" xr3:uid="{A60A61C2-A415-40C1-B9AB-61E655A30219}" name="Maturity_Date" dataDxfId="39"/>
    <tableColumn id="20" xr3:uid="{ADBF9D18-96DF-44EE-A9F1-1222FE17C2CB}" name="Last_Annual_Review" dataDxfId="38"/>
    <tableColumn id="21" xr3:uid="{ADAAC803-9D1E-4B8A-B4C2-7EB27395B462}" name="Relationship_Manager"/>
    <tableColumn id="22" xr3:uid="{12A4BD0B-D44D-4CF6-90CA-F9A676184D55}" name="Sustainability_Linked" dataDxfId="37"/>
    <tableColumn id="23" xr3:uid="{F9879D28-F3E1-481C-9F14-B4AC363B1755}" name="ESG_Risk" dataDxfId="36"/>
    <tableColumn id="24" xr3:uid="{5CDAE19F-1C27-4BF6-B0AC-6A7CA5831C63}" name="Com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0FFD1C-7227-456F-A11E-823EE7CD2D4F}" name="tblTrend" displayName="tblTrend" ref="A4:K12" totalsRowShown="0" headerRowDxfId="35">
  <autoFilter ref="A4:K12" xr:uid="{360FFD1C-7227-456F-A11E-823EE7CD2D4F}"/>
  <tableColumns count="11">
    <tableColumn id="1" xr3:uid="{D041E12A-A147-403B-B329-95693B28A1CE}" name="Quarter" dataDxfId="34"/>
    <tableColumn id="2" xr3:uid="{E956FBFF-D26B-45D6-8CF2-7A713AFB572D}" name="Total_Commitments_EURm" dataDxfId="33"/>
    <tableColumn id="3" xr3:uid="{FC308C5D-F907-48A5-B197-A972E39B066F}" name="Drawn_EURm" dataDxfId="32"/>
    <tableColumn id="4" xr3:uid="{0E25C524-4CD8-4A9F-ACE5-FC917CD8D4D1}" name="RWA_EURm" dataDxfId="31"/>
    <tableColumn id="5" xr3:uid="{2A292215-32DD-4B0F-94B0-196161DD0F7F}" name="Revenue_EURm" dataDxfId="30"/>
    <tableColumn id="6" xr3:uid="{5ECE849B-1A51-4336-8747-9E88DC695D40}" name="Impairment_Charge_EURm" dataDxfId="29"/>
    <tableColumn id="7" xr3:uid="{D4A0384D-D5D3-4F69-B259-B124A984A09C}" name="Stage2_Exposure_EURm" dataDxfId="28"/>
    <tableColumn id="8" xr3:uid="{A8B4F141-1C32-49FC-89D3-99309CED2C8C}" name="Stage3_Exposure_EURm" dataDxfId="27"/>
    <tableColumn id="9" xr3:uid="{991ADE02-98A4-4168-AB8D-7CFFD4542EE0}" name="Industrials_Share_pct" dataDxfId="26"/>
    <tableColumn id="10" xr3:uid="{FD067939-0D23-4F9F-A57A-789CA5C7B681}" name="Watch_List_Count" dataDxfId="25"/>
    <tableColumn id="11" xr3:uid="{020AB672-86B0-42DD-B61A-3CD0FC4672CC}" name="Number_of_Clients" dataDxfId="2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A8E3EC-0413-4F4A-A77B-081FEDB9E1C2}" name="tblLimits" displayName="tblLimits" ref="A4:F15" totalsRowShown="0" headerRowDxfId="20">
  <autoFilter ref="A4:F15" xr:uid="{47A8E3EC-0413-4F4A-A77B-081FEDB9E1C2}"/>
  <tableColumns count="6">
    <tableColumn id="1" xr3:uid="{6A0BF0F6-BE21-4E05-ABE6-AE3687A92026}" name="Sector"/>
    <tableColumn id="2" xr3:uid="{8D9C6F8C-7DF9-4C98-945C-BBCA55384265}" name="Limit_pct" dataDxfId="19"/>
    <tableColumn id="3" xr3:uid="{59980376-1DD5-42E1-A4AB-254919EB25F9}" name="Early_Warning_pct" dataDxfId="18"/>
    <tableColumn id="4" xr3:uid="{CAD7AEDC-3E25-4A91-AA69-DA572D65486D}" name="Current_Commitments_EURm" dataDxfId="17">
      <calculatedColumnFormula>SUMIFS(tblPortfolio[Commitment_EURm],tblPortfolio[Sector],tblLimits[[#This Row],[Sector]])</calculatedColumnFormula>
    </tableColumn>
    <tableColumn id="5" xr3:uid="{562B7837-26FF-419F-BC4E-AA6E23534B83}" name="Current_Share_pct" dataDxfId="16">
      <calculatedColumnFormula>D5/SUM(tblPortfolio[Commitment_EURm])*100</calculatedColumnFormula>
    </tableColumn>
    <tableColumn id="6" xr3:uid="{1F0BDA51-ADA1-4A13-B160-8CD84053E136}" name="Status" dataDxfId="15">
      <calculatedColumnFormula>IF(E5&gt;B5,"Breach",IF(E5&gt;=C5,"Early warning","Within appetite"))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8897FE-0975-43DF-818D-61A4C78A5A34}" name="tblSingleName" displayName="tblSingleName" ref="A18:B22" totalsRowShown="0" headerRowDxfId="14">
  <autoFilter ref="A18:B22" xr:uid="{4F8897FE-0975-43DF-818D-61A4C78A5A34}"/>
  <tableColumns count="2">
    <tableColumn id="1" xr3:uid="{54985E45-DA20-4364-B2D8-41A37A334822}" name="Rating_Band"/>
    <tableColumn id="2" xr3:uid="{A58A6C54-761E-41BC-A9F6-6FE92B05865C}" name="Single_Name_Group_Limit_EURm" dataDxfId="1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AC2B25-680E-4B4C-90C6-98F1BF497B8A}" name="tblPipeline" displayName="tblPipeline" ref="A4:M15" totalsRowShown="0" headerRowDxfId="12">
  <autoFilter ref="A4:M15" xr:uid="{3FAC2B25-680E-4B4C-90C6-98F1BF497B8A}"/>
  <tableColumns count="13">
    <tableColumn id="1" xr3:uid="{B8586881-E45C-4748-96BC-06E012920351}" name="Deal_Name"/>
    <tableColumn id="2" xr3:uid="{2A5D182E-921F-421F-8F9B-54FC2253BA54}" name="Client"/>
    <tableColumn id="3" xr3:uid="{FF66AB9F-9425-4ABF-99CB-9C36D77FB80F}" name="Sector"/>
    <tableColumn id="4" xr3:uid="{BAA0BC9F-22DE-48EE-B42C-FF4F902057B9}" name="Country"/>
    <tableColumn id="5" xr3:uid="{2981E777-D240-478C-B259-6AED59DA054A}" name="Segment"/>
    <tableColumn id="6" xr3:uid="{283B3514-DE29-4616-BBF8-34BCCC1E28C7}" name="Facility_Type"/>
    <tableColumn id="7" xr3:uid="{AE4B2DC9-073B-44B3-B423-D2651CDF3E79}" name="Expected_Hold_EURm" dataDxfId="11"/>
    <tableColumn id="8" xr3:uid="{12BD43ED-54AE-43F4-B7E4-45DDDDEB69D1}" name="Hold_Range_EURm" dataDxfId="10"/>
    <tableColumn id="9" xr3:uid="{1A452155-46B7-43C0-A243-83B0434A9841}" name="Expected_Close"/>
    <tableColumn id="10" xr3:uid="{1FE824BE-2801-45EF-919D-CB07318E88DC}" name="Probability_pct" dataDxfId="9"/>
    <tableColumn id="11" xr3:uid="{3E6ACAC1-1A02-4252-A7AB-163F6348D949}" name="Rating_Grade" dataDxfId="8"/>
    <tableColumn id="12" xr3:uid="{1ABD0E05-BD93-473E-9092-C5EFE46B7501}" name="Margin_bps" dataDxfId="7"/>
    <tableColumn id="13" xr3:uid="{66FB8812-9ACF-4ABA-BD34-167F21D05243}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BEEA2FD-00EA-42F2-A6F2-06DEFB16479E}" name="tblDictionary" displayName="tblDictionary" ref="A4:E60" totalsRowShown="0" headerRowDxfId="6" dataDxfId="5">
  <autoFilter ref="A4:E60" xr:uid="{EBEEA2FD-00EA-42F2-A6F2-06DEFB16479E}"/>
  <tableColumns count="5">
    <tableColumn id="1" xr3:uid="{114AD8C4-3622-42C0-ACFA-3C7642567B46}" name="Sheet" dataDxfId="4"/>
    <tableColumn id="2" xr3:uid="{3490D1DA-FF95-4FB5-B12F-311AB36FC726}" name="Table" dataDxfId="3"/>
    <tableColumn id="3" xr3:uid="{CE9F6416-A620-423A-8D38-EB49BB9AF14D}" name="Column" dataDxfId="2"/>
    <tableColumn id="4" xr3:uid="{3B5AD4C8-4ABC-4F41-86CC-CA3191EF8B37}" name="Definition" dataDxfId="1"/>
    <tableColumn id="5" xr3:uid="{B81A7D34-2578-44B4-BCA0-D38CD8817C2B}" name="Unit_or_Forma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36.7109375" customWidth="1"/>
    <col min="3" max="3" width="27.7109375" customWidth="1"/>
    <col min="4" max="4" width="21.7109375" customWidth="1"/>
    <col min="5" max="5" width="22.7109375" customWidth="1"/>
    <col min="6" max="6" width="21.7109375" customWidth="1"/>
    <col min="7" max="7" width="19.7109375" customWidth="1"/>
    <col min="8" max="8" width="26.7109375" customWidth="1"/>
    <col min="9" max="9" width="11.7109375" customWidth="1"/>
    <col min="10" max="10" width="18.7109375" customWidth="1"/>
    <col min="11" max="11" width="13.7109375" customWidth="1"/>
    <col min="12" max="12" width="15.7109375" customWidth="1"/>
    <col min="13" max="13" width="23.7109375" customWidth="1"/>
    <col min="14" max="14" width="14.7109375" customWidth="1"/>
    <col min="15" max="16" width="13.7109375" customWidth="1"/>
    <col min="17" max="17" width="12.7109375" customWidth="1"/>
    <col min="18" max="18" width="26.7109375" customWidth="1"/>
    <col min="19" max="19" width="16.7109375" customWidth="1"/>
    <col min="20" max="20" width="21.7109375" customWidth="1"/>
    <col min="21" max="21" width="23.7109375" customWidth="1"/>
    <col min="22" max="22" width="24.7109375" customWidth="1"/>
    <col min="23" max="23" width="11.7109375" customWidth="1"/>
    <col min="24" max="24" width="62.7109375" customWidth="1"/>
  </cols>
  <sheetData>
    <row r="1" spans="1:24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s="6" t="s">
        <v>32</v>
      </c>
      <c r="J2" s="2">
        <v>80</v>
      </c>
      <c r="K2" s="2">
        <v>69</v>
      </c>
      <c r="L2" s="6" t="s">
        <v>33</v>
      </c>
      <c r="M2" s="6" t="s">
        <v>33</v>
      </c>
      <c r="N2" s="7">
        <v>1</v>
      </c>
      <c r="O2" s="6" t="s">
        <v>34</v>
      </c>
      <c r="P2" s="4">
        <v>145</v>
      </c>
      <c r="Q2" s="2">
        <v>48.4</v>
      </c>
      <c r="R2" s="3">
        <v>1.1399999999999999</v>
      </c>
      <c r="S2" s="5">
        <v>48316</v>
      </c>
      <c r="T2" s="5">
        <v>46149</v>
      </c>
      <c r="U2" t="s">
        <v>35</v>
      </c>
      <c r="V2" s="6" t="s">
        <v>36</v>
      </c>
      <c r="W2" s="6" t="s">
        <v>37</v>
      </c>
    </row>
    <row r="3" spans="1:24">
      <c r="A3" t="s">
        <v>38</v>
      </c>
      <c r="B3" t="s">
        <v>39</v>
      </c>
      <c r="C3" t="s">
        <v>40</v>
      </c>
      <c r="D3" t="s">
        <v>27</v>
      </c>
      <c r="E3" t="s">
        <v>41</v>
      </c>
      <c r="F3" t="s">
        <v>42</v>
      </c>
      <c r="G3" t="s">
        <v>43</v>
      </c>
      <c r="H3" t="s">
        <v>44</v>
      </c>
      <c r="I3" s="6" t="s">
        <v>32</v>
      </c>
      <c r="J3" s="2">
        <v>185</v>
      </c>
      <c r="K3" s="2">
        <v>167</v>
      </c>
      <c r="L3" s="6" t="s">
        <v>45</v>
      </c>
      <c r="M3" s="6" t="s">
        <v>45</v>
      </c>
      <c r="N3" s="7">
        <v>1</v>
      </c>
      <c r="O3" s="6" t="s">
        <v>34</v>
      </c>
      <c r="P3" s="4">
        <v>65</v>
      </c>
      <c r="Q3" s="2">
        <v>44</v>
      </c>
      <c r="R3" s="3">
        <v>1.31</v>
      </c>
      <c r="S3" s="5">
        <v>48350</v>
      </c>
      <c r="T3" s="5">
        <v>46045</v>
      </c>
      <c r="U3" t="s">
        <v>46</v>
      </c>
      <c r="V3" s="6" t="s">
        <v>34</v>
      </c>
      <c r="W3" s="6" t="s">
        <v>37</v>
      </c>
    </row>
    <row r="4" spans="1:2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44</v>
      </c>
      <c r="I4" s="6" t="s">
        <v>32</v>
      </c>
      <c r="J4" s="2">
        <v>265</v>
      </c>
      <c r="K4" s="2">
        <v>256</v>
      </c>
      <c r="L4" s="6" t="s">
        <v>54</v>
      </c>
      <c r="M4" s="6" t="s">
        <v>55</v>
      </c>
      <c r="N4" s="7">
        <v>1</v>
      </c>
      <c r="O4" s="6" t="s">
        <v>34</v>
      </c>
      <c r="P4" s="4">
        <v>55</v>
      </c>
      <c r="Q4" s="2">
        <v>78.099999999999994</v>
      </c>
      <c r="R4" s="3">
        <v>1.69</v>
      </c>
      <c r="S4" s="5">
        <v>47520</v>
      </c>
      <c r="T4" s="5">
        <v>46046</v>
      </c>
      <c r="U4" t="s">
        <v>56</v>
      </c>
      <c r="V4" s="6" t="s">
        <v>36</v>
      </c>
      <c r="W4" s="6" t="s">
        <v>57</v>
      </c>
      <c r="X4" t="s">
        <v>58</v>
      </c>
    </row>
    <row r="5" spans="1:24">
      <c r="A5" t="s">
        <v>59</v>
      </c>
      <c r="B5" t="s">
        <v>60</v>
      </c>
      <c r="C5" t="s">
        <v>61</v>
      </c>
      <c r="D5" t="s">
        <v>27</v>
      </c>
      <c r="E5" t="s">
        <v>62</v>
      </c>
      <c r="F5" t="s">
        <v>63</v>
      </c>
      <c r="G5" t="s">
        <v>64</v>
      </c>
      <c r="H5" t="s">
        <v>44</v>
      </c>
      <c r="I5" s="6" t="s">
        <v>65</v>
      </c>
      <c r="J5" s="2">
        <v>295</v>
      </c>
      <c r="K5" s="2">
        <v>276</v>
      </c>
      <c r="L5" s="6" t="s">
        <v>33</v>
      </c>
      <c r="M5" s="6" t="s">
        <v>33</v>
      </c>
      <c r="N5" s="7">
        <v>1</v>
      </c>
      <c r="O5" s="6" t="s">
        <v>34</v>
      </c>
      <c r="P5" s="4">
        <v>120</v>
      </c>
      <c r="Q5" s="2">
        <v>157</v>
      </c>
      <c r="R5" s="3">
        <v>3.69</v>
      </c>
      <c r="S5" s="5">
        <v>48167</v>
      </c>
      <c r="T5" s="5">
        <v>45888</v>
      </c>
      <c r="U5" t="s">
        <v>66</v>
      </c>
      <c r="V5" s="6" t="s">
        <v>36</v>
      </c>
      <c r="W5" s="6" t="s">
        <v>37</v>
      </c>
      <c r="X5" t="s">
        <v>67</v>
      </c>
    </row>
    <row r="6" spans="1:24">
      <c r="A6" t="s">
        <v>68</v>
      </c>
      <c r="B6" t="s">
        <v>69</v>
      </c>
      <c r="C6" t="s">
        <v>70</v>
      </c>
      <c r="D6" t="s">
        <v>50</v>
      </c>
      <c r="E6" t="s">
        <v>71</v>
      </c>
      <c r="F6" t="s">
        <v>72</v>
      </c>
      <c r="G6" t="s">
        <v>30</v>
      </c>
      <c r="H6" t="s">
        <v>31</v>
      </c>
      <c r="I6" s="6" t="s">
        <v>32</v>
      </c>
      <c r="J6" s="2">
        <v>200</v>
      </c>
      <c r="K6" s="2">
        <v>170</v>
      </c>
      <c r="L6" s="6" t="s">
        <v>73</v>
      </c>
      <c r="M6" s="6" t="s">
        <v>73</v>
      </c>
      <c r="N6" s="7">
        <v>1</v>
      </c>
      <c r="O6" s="6" t="s">
        <v>34</v>
      </c>
      <c r="P6" s="4">
        <v>140</v>
      </c>
      <c r="Q6" s="2">
        <v>148</v>
      </c>
      <c r="R6" s="3">
        <v>2.73</v>
      </c>
      <c r="S6" s="5">
        <v>49377</v>
      </c>
      <c r="T6" s="5">
        <v>46003</v>
      </c>
      <c r="U6" t="s">
        <v>74</v>
      </c>
      <c r="V6" s="6" t="s">
        <v>34</v>
      </c>
      <c r="W6" s="6" t="s">
        <v>75</v>
      </c>
      <c r="X6" t="s">
        <v>76</v>
      </c>
    </row>
    <row r="7" spans="1:24">
      <c r="A7" t="s">
        <v>77</v>
      </c>
      <c r="B7" t="s">
        <v>78</v>
      </c>
      <c r="C7" t="s">
        <v>79</v>
      </c>
      <c r="D7" t="s">
        <v>50</v>
      </c>
      <c r="E7" t="s">
        <v>51</v>
      </c>
      <c r="F7" t="s">
        <v>80</v>
      </c>
      <c r="G7" t="s">
        <v>30</v>
      </c>
      <c r="H7" t="s">
        <v>31</v>
      </c>
      <c r="I7" s="6" t="s">
        <v>32</v>
      </c>
      <c r="J7" s="2">
        <v>230</v>
      </c>
      <c r="K7" s="2">
        <v>200</v>
      </c>
      <c r="L7" s="6" t="s">
        <v>73</v>
      </c>
      <c r="M7" s="6" t="s">
        <v>73</v>
      </c>
      <c r="N7" s="7">
        <v>1</v>
      </c>
      <c r="O7" s="6" t="s">
        <v>34</v>
      </c>
      <c r="P7" s="4">
        <v>140</v>
      </c>
      <c r="Q7" s="2">
        <v>172</v>
      </c>
      <c r="R7" s="3">
        <v>3.18</v>
      </c>
      <c r="S7" s="5">
        <v>49170</v>
      </c>
      <c r="T7" s="5">
        <v>46289</v>
      </c>
      <c r="U7" t="s">
        <v>35</v>
      </c>
      <c r="V7" s="6" t="s">
        <v>34</v>
      </c>
      <c r="W7" s="6" t="s">
        <v>37</v>
      </c>
      <c r="X7" t="s">
        <v>76</v>
      </c>
    </row>
    <row r="8" spans="1:24">
      <c r="A8" t="s">
        <v>81</v>
      </c>
      <c r="B8" t="s">
        <v>82</v>
      </c>
      <c r="C8" t="s">
        <v>83</v>
      </c>
      <c r="D8" t="s">
        <v>50</v>
      </c>
      <c r="E8" t="s">
        <v>51</v>
      </c>
      <c r="F8" t="s">
        <v>84</v>
      </c>
      <c r="G8" t="s">
        <v>85</v>
      </c>
      <c r="H8" t="s">
        <v>44</v>
      </c>
      <c r="I8" s="6" t="s">
        <v>32</v>
      </c>
      <c r="J8" s="2">
        <v>65</v>
      </c>
      <c r="K8" s="2">
        <v>64</v>
      </c>
      <c r="L8" s="6" t="s">
        <v>33</v>
      </c>
      <c r="M8" s="6" t="s">
        <v>33</v>
      </c>
      <c r="N8" s="7">
        <v>1</v>
      </c>
      <c r="O8" s="6" t="s">
        <v>34</v>
      </c>
      <c r="P8" s="4">
        <v>95</v>
      </c>
      <c r="Q8" s="2">
        <v>35.5</v>
      </c>
      <c r="R8" s="3">
        <v>0.68</v>
      </c>
      <c r="S8" s="5">
        <v>46566</v>
      </c>
      <c r="T8" s="5">
        <v>46040</v>
      </c>
      <c r="U8" t="s">
        <v>86</v>
      </c>
      <c r="V8" s="6" t="s">
        <v>34</v>
      </c>
      <c r="W8" s="6" t="s">
        <v>75</v>
      </c>
    </row>
    <row r="9" spans="1:24">
      <c r="A9" t="s">
        <v>87</v>
      </c>
      <c r="B9" t="s">
        <v>88</v>
      </c>
      <c r="C9" t="s">
        <v>89</v>
      </c>
      <c r="D9" t="s">
        <v>27</v>
      </c>
      <c r="E9" t="s">
        <v>90</v>
      </c>
      <c r="F9" t="s">
        <v>52</v>
      </c>
      <c r="G9" t="s">
        <v>53</v>
      </c>
      <c r="H9" t="s">
        <v>91</v>
      </c>
      <c r="I9" s="6" t="s">
        <v>32</v>
      </c>
      <c r="J9" s="2">
        <v>165</v>
      </c>
      <c r="K9" s="2">
        <v>95</v>
      </c>
      <c r="L9" s="6" t="s">
        <v>92</v>
      </c>
      <c r="M9" s="6" t="s">
        <v>92</v>
      </c>
      <c r="N9" s="7">
        <v>1</v>
      </c>
      <c r="O9" s="6" t="s">
        <v>34</v>
      </c>
      <c r="P9" s="4">
        <v>50</v>
      </c>
      <c r="Q9" s="2">
        <v>49.1</v>
      </c>
      <c r="R9" s="3">
        <v>0.76</v>
      </c>
      <c r="S9" s="5">
        <v>47217</v>
      </c>
      <c r="T9" s="5">
        <v>46097</v>
      </c>
      <c r="U9" t="s">
        <v>56</v>
      </c>
      <c r="V9" s="6" t="s">
        <v>34</v>
      </c>
      <c r="W9" s="6" t="s">
        <v>75</v>
      </c>
      <c r="X9" t="s">
        <v>93</v>
      </c>
    </row>
    <row r="10" spans="1:24">
      <c r="A10" t="s">
        <v>94</v>
      </c>
      <c r="B10" t="s">
        <v>95</v>
      </c>
      <c r="C10" t="s">
        <v>96</v>
      </c>
      <c r="D10" t="s">
        <v>50</v>
      </c>
      <c r="E10" t="s">
        <v>97</v>
      </c>
      <c r="F10" t="s">
        <v>98</v>
      </c>
      <c r="G10" t="s">
        <v>99</v>
      </c>
      <c r="H10" t="s">
        <v>91</v>
      </c>
      <c r="I10" s="6" t="s">
        <v>32</v>
      </c>
      <c r="J10" s="2">
        <v>200</v>
      </c>
      <c r="K10" s="2">
        <v>122</v>
      </c>
      <c r="L10" s="6" t="s">
        <v>73</v>
      </c>
      <c r="M10" s="6" t="s">
        <v>33</v>
      </c>
      <c r="N10" s="7">
        <v>1</v>
      </c>
      <c r="O10" s="6" t="s">
        <v>34</v>
      </c>
      <c r="P10" s="4">
        <v>90</v>
      </c>
      <c r="Q10" s="2">
        <v>96.3</v>
      </c>
      <c r="R10" s="3">
        <v>1.54</v>
      </c>
      <c r="S10" s="5">
        <v>48011</v>
      </c>
      <c r="T10" s="5">
        <v>46068</v>
      </c>
      <c r="U10" t="s">
        <v>100</v>
      </c>
      <c r="V10" s="6" t="s">
        <v>34</v>
      </c>
      <c r="W10" s="6" t="s">
        <v>37</v>
      </c>
      <c r="X10" t="s">
        <v>101</v>
      </c>
    </row>
    <row r="11" spans="1:24">
      <c r="A11" t="s">
        <v>102</v>
      </c>
      <c r="B11" t="s">
        <v>103</v>
      </c>
      <c r="C11" t="s">
        <v>104</v>
      </c>
      <c r="D11" t="s">
        <v>50</v>
      </c>
      <c r="E11" t="s">
        <v>51</v>
      </c>
      <c r="F11" t="s">
        <v>105</v>
      </c>
      <c r="G11" t="s">
        <v>106</v>
      </c>
      <c r="H11" t="s">
        <v>31</v>
      </c>
      <c r="I11" s="6" t="s">
        <v>107</v>
      </c>
      <c r="J11" s="2">
        <v>105</v>
      </c>
      <c r="K11" s="2">
        <v>102</v>
      </c>
      <c r="L11" s="6" t="s">
        <v>92</v>
      </c>
      <c r="M11" s="6" t="s">
        <v>92</v>
      </c>
      <c r="N11" s="7">
        <v>1</v>
      </c>
      <c r="O11" s="6" t="s">
        <v>34</v>
      </c>
      <c r="P11" s="4">
        <v>100</v>
      </c>
      <c r="Q11" s="2">
        <v>56.9</v>
      </c>
      <c r="R11" s="3">
        <v>1.1399999999999999</v>
      </c>
      <c r="S11" s="5">
        <v>49329</v>
      </c>
      <c r="T11" s="5">
        <v>45932</v>
      </c>
      <c r="U11" t="s">
        <v>108</v>
      </c>
      <c r="V11" s="6" t="s">
        <v>36</v>
      </c>
      <c r="W11" s="6" t="s">
        <v>75</v>
      </c>
    </row>
    <row r="12" spans="1:24">
      <c r="A12" t="s">
        <v>109</v>
      </c>
      <c r="B12" t="s">
        <v>110</v>
      </c>
      <c r="C12" t="s">
        <v>111</v>
      </c>
      <c r="D12" t="s">
        <v>50</v>
      </c>
      <c r="E12" t="s">
        <v>41</v>
      </c>
      <c r="F12" t="s">
        <v>105</v>
      </c>
      <c r="G12" t="s">
        <v>106</v>
      </c>
      <c r="H12" t="s">
        <v>112</v>
      </c>
      <c r="I12" s="6" t="s">
        <v>107</v>
      </c>
      <c r="J12" s="2">
        <v>330</v>
      </c>
      <c r="K12" s="2">
        <v>63</v>
      </c>
      <c r="L12" s="6" t="s">
        <v>73</v>
      </c>
      <c r="M12" s="6" t="s">
        <v>73</v>
      </c>
      <c r="N12" s="7">
        <v>1</v>
      </c>
      <c r="O12" s="6" t="s">
        <v>34</v>
      </c>
      <c r="P12" s="4">
        <v>110</v>
      </c>
      <c r="Q12" s="2">
        <v>137.5</v>
      </c>
      <c r="R12" s="3">
        <v>2.0499999999999998</v>
      </c>
      <c r="S12" s="5">
        <v>47135</v>
      </c>
      <c r="T12" s="5">
        <v>46244</v>
      </c>
      <c r="U12" t="s">
        <v>113</v>
      </c>
      <c r="V12" s="6" t="s">
        <v>34</v>
      </c>
      <c r="W12" s="6" t="s">
        <v>57</v>
      </c>
    </row>
    <row r="13" spans="1:24">
      <c r="A13" t="s">
        <v>114</v>
      </c>
      <c r="B13" t="s">
        <v>115</v>
      </c>
      <c r="C13" t="s">
        <v>116</v>
      </c>
      <c r="D13" t="s">
        <v>50</v>
      </c>
      <c r="E13" t="s">
        <v>41</v>
      </c>
      <c r="F13" t="s">
        <v>84</v>
      </c>
      <c r="G13" t="s">
        <v>85</v>
      </c>
      <c r="H13" t="s">
        <v>44</v>
      </c>
      <c r="I13" s="6" t="s">
        <v>32</v>
      </c>
      <c r="J13" s="2">
        <v>125</v>
      </c>
      <c r="K13" s="2">
        <v>124</v>
      </c>
      <c r="L13" s="6" t="s">
        <v>55</v>
      </c>
      <c r="M13" s="6" t="s">
        <v>92</v>
      </c>
      <c r="N13" s="7">
        <v>1</v>
      </c>
      <c r="O13" s="6" t="s">
        <v>34</v>
      </c>
      <c r="P13" s="4">
        <v>70</v>
      </c>
      <c r="Q13" s="2">
        <v>43.6</v>
      </c>
      <c r="R13" s="3">
        <v>1</v>
      </c>
      <c r="S13" s="5">
        <v>47940</v>
      </c>
      <c r="T13" s="5">
        <v>46021</v>
      </c>
      <c r="U13" t="s">
        <v>86</v>
      </c>
      <c r="V13" s="6" t="s">
        <v>34</v>
      </c>
      <c r="W13" s="6" t="s">
        <v>37</v>
      </c>
      <c r="X13" t="s">
        <v>58</v>
      </c>
    </row>
    <row r="14" spans="1:24">
      <c r="A14" t="s">
        <v>117</v>
      </c>
      <c r="B14" t="s">
        <v>118</v>
      </c>
      <c r="C14" t="s">
        <v>119</v>
      </c>
      <c r="D14" t="s">
        <v>50</v>
      </c>
      <c r="E14" t="s">
        <v>120</v>
      </c>
      <c r="F14" t="s">
        <v>42</v>
      </c>
      <c r="G14" t="s">
        <v>43</v>
      </c>
      <c r="H14" t="s">
        <v>121</v>
      </c>
      <c r="I14" s="6" t="s">
        <v>32</v>
      </c>
      <c r="J14" s="2">
        <v>125</v>
      </c>
      <c r="K14" s="2">
        <v>125</v>
      </c>
      <c r="L14" s="6" t="s">
        <v>54</v>
      </c>
      <c r="M14" s="6" t="s">
        <v>54</v>
      </c>
      <c r="N14" s="7">
        <v>1</v>
      </c>
      <c r="O14" s="6" t="s">
        <v>34</v>
      </c>
      <c r="P14" s="4">
        <v>40</v>
      </c>
      <c r="Q14" s="2">
        <v>37.5</v>
      </c>
      <c r="R14" s="3">
        <v>0.62</v>
      </c>
      <c r="S14" s="5">
        <v>48524</v>
      </c>
      <c r="T14" s="5">
        <v>46233</v>
      </c>
      <c r="U14" t="s">
        <v>35</v>
      </c>
      <c r="V14" s="6" t="s">
        <v>34</v>
      </c>
      <c r="W14" s="6" t="s">
        <v>75</v>
      </c>
    </row>
    <row r="15" spans="1:24">
      <c r="A15" t="s">
        <v>122</v>
      </c>
      <c r="B15" t="s">
        <v>123</v>
      </c>
      <c r="C15" t="s">
        <v>124</v>
      </c>
      <c r="D15" t="s">
        <v>27</v>
      </c>
      <c r="E15" t="s">
        <v>71</v>
      </c>
      <c r="F15" t="s">
        <v>105</v>
      </c>
      <c r="G15" t="s">
        <v>106</v>
      </c>
      <c r="H15" t="s">
        <v>31</v>
      </c>
      <c r="I15" s="6" t="s">
        <v>107</v>
      </c>
      <c r="J15" s="2">
        <v>135</v>
      </c>
      <c r="K15" s="2">
        <v>121</v>
      </c>
      <c r="L15" s="6"/>
      <c r="M15" s="6" t="s">
        <v>73</v>
      </c>
      <c r="N15" s="7">
        <v>1</v>
      </c>
      <c r="O15" s="6" t="s">
        <v>34</v>
      </c>
      <c r="P15" s="4">
        <v>165</v>
      </c>
      <c r="Q15" s="2">
        <v>102.4</v>
      </c>
      <c r="R15" s="3">
        <v>2.21</v>
      </c>
      <c r="S15" s="5">
        <v>48699</v>
      </c>
      <c r="T15" s="5">
        <v>46032</v>
      </c>
      <c r="U15" t="s">
        <v>125</v>
      </c>
      <c r="V15" s="6" t="s">
        <v>34</v>
      </c>
      <c r="W15" s="6" t="s">
        <v>57</v>
      </c>
      <c r="X15" t="s">
        <v>76</v>
      </c>
    </row>
    <row r="16" spans="1:24">
      <c r="A16" t="s">
        <v>126</v>
      </c>
      <c r="B16" t="s">
        <v>127</v>
      </c>
      <c r="C16" t="s">
        <v>128</v>
      </c>
      <c r="D16" t="s">
        <v>50</v>
      </c>
      <c r="E16" t="s">
        <v>120</v>
      </c>
      <c r="F16" t="s">
        <v>129</v>
      </c>
      <c r="G16" t="s">
        <v>64</v>
      </c>
      <c r="H16" t="s">
        <v>44</v>
      </c>
      <c r="I16" s="6" t="s">
        <v>65</v>
      </c>
      <c r="J16" s="2">
        <v>185</v>
      </c>
      <c r="K16" s="2">
        <v>185</v>
      </c>
      <c r="L16" s="6" t="s">
        <v>130</v>
      </c>
      <c r="M16" s="6" t="s">
        <v>130</v>
      </c>
      <c r="N16" s="7">
        <v>2</v>
      </c>
      <c r="O16" s="6" t="s">
        <v>34</v>
      </c>
      <c r="P16" s="4">
        <v>190</v>
      </c>
      <c r="Q16" s="2">
        <v>203.5</v>
      </c>
      <c r="R16" s="3">
        <v>3.7</v>
      </c>
      <c r="S16" s="5">
        <v>46565</v>
      </c>
      <c r="T16" s="5">
        <v>46119</v>
      </c>
      <c r="U16" t="s">
        <v>66</v>
      </c>
      <c r="V16" s="6" t="s">
        <v>34</v>
      </c>
      <c r="W16" s="6" t="s">
        <v>75</v>
      </c>
    </row>
    <row r="17" spans="1:24">
      <c r="A17" t="s">
        <v>131</v>
      </c>
      <c r="B17" t="s">
        <v>132</v>
      </c>
      <c r="C17" t="s">
        <v>133</v>
      </c>
      <c r="D17" t="s">
        <v>27</v>
      </c>
      <c r="E17" t="s">
        <v>62</v>
      </c>
      <c r="F17" t="s">
        <v>72</v>
      </c>
      <c r="G17" t="s">
        <v>30</v>
      </c>
      <c r="H17" t="s">
        <v>44</v>
      </c>
      <c r="I17" s="6" t="s">
        <v>32</v>
      </c>
      <c r="J17" s="2">
        <v>220</v>
      </c>
      <c r="K17" s="2">
        <v>215</v>
      </c>
      <c r="L17" s="6" t="s">
        <v>130</v>
      </c>
      <c r="M17" s="6" t="s">
        <v>130</v>
      </c>
      <c r="N17" s="7">
        <v>2</v>
      </c>
      <c r="O17" s="6" t="s">
        <v>34</v>
      </c>
      <c r="P17" s="4">
        <v>210</v>
      </c>
      <c r="Q17" s="2">
        <v>239.3</v>
      </c>
      <c r="R17" s="3">
        <v>4.7699999999999996</v>
      </c>
      <c r="S17" s="5">
        <v>47911</v>
      </c>
      <c r="T17" s="5">
        <v>46007</v>
      </c>
      <c r="U17" t="s">
        <v>35</v>
      </c>
      <c r="V17" s="6" t="s">
        <v>34</v>
      </c>
      <c r="W17" s="6" t="s">
        <v>75</v>
      </c>
    </row>
    <row r="18" spans="1:24">
      <c r="A18" t="s">
        <v>134</v>
      </c>
      <c r="B18" t="s">
        <v>135</v>
      </c>
      <c r="C18" t="s">
        <v>136</v>
      </c>
      <c r="D18" t="s">
        <v>27</v>
      </c>
      <c r="E18" t="s">
        <v>71</v>
      </c>
      <c r="F18" t="s">
        <v>52</v>
      </c>
      <c r="G18" t="s">
        <v>53</v>
      </c>
      <c r="H18" t="s">
        <v>44</v>
      </c>
      <c r="I18" s="6" t="s">
        <v>32</v>
      </c>
      <c r="J18" s="2">
        <v>165</v>
      </c>
      <c r="K18" s="2">
        <v>153</v>
      </c>
      <c r="L18" s="6" t="s">
        <v>33</v>
      </c>
      <c r="M18" s="6" t="s">
        <v>33</v>
      </c>
      <c r="N18" s="7">
        <v>1</v>
      </c>
      <c r="O18" s="6" t="s">
        <v>34</v>
      </c>
      <c r="P18" s="4">
        <v>120</v>
      </c>
      <c r="Q18" s="2">
        <v>87.5</v>
      </c>
      <c r="R18" s="3">
        <v>2.0499999999999998</v>
      </c>
      <c r="S18" s="5">
        <v>47136</v>
      </c>
      <c r="T18" s="5">
        <v>46211</v>
      </c>
      <c r="U18" t="s">
        <v>56</v>
      </c>
      <c r="V18" s="6" t="s">
        <v>36</v>
      </c>
      <c r="W18" s="6" t="s">
        <v>75</v>
      </c>
    </row>
    <row r="19" spans="1:24">
      <c r="A19" t="s">
        <v>137</v>
      </c>
      <c r="B19" t="s">
        <v>138</v>
      </c>
      <c r="C19" t="s">
        <v>139</v>
      </c>
      <c r="D19" t="s">
        <v>27</v>
      </c>
      <c r="E19" t="s">
        <v>28</v>
      </c>
      <c r="F19" t="s">
        <v>42</v>
      </c>
      <c r="G19" t="s">
        <v>43</v>
      </c>
      <c r="H19" t="s">
        <v>31</v>
      </c>
      <c r="I19" s="6" t="s">
        <v>32</v>
      </c>
      <c r="J19" s="2">
        <v>200</v>
      </c>
      <c r="K19" s="2">
        <v>185</v>
      </c>
      <c r="L19" s="6" t="s">
        <v>33</v>
      </c>
      <c r="M19" s="6" t="s">
        <v>33</v>
      </c>
      <c r="N19" s="7">
        <v>1</v>
      </c>
      <c r="O19" s="6" t="s">
        <v>34</v>
      </c>
      <c r="P19" s="4">
        <v>130</v>
      </c>
      <c r="Q19" s="2">
        <v>125.1</v>
      </c>
      <c r="R19" s="3">
        <v>2.67</v>
      </c>
      <c r="S19" s="5">
        <v>50350</v>
      </c>
      <c r="T19" s="5">
        <v>46050</v>
      </c>
      <c r="U19" t="s">
        <v>46</v>
      </c>
      <c r="V19" s="6" t="s">
        <v>34</v>
      </c>
      <c r="W19" s="6" t="s">
        <v>75</v>
      </c>
    </row>
    <row r="20" spans="1:24">
      <c r="A20" t="s">
        <v>140</v>
      </c>
      <c r="B20" t="s">
        <v>141</v>
      </c>
      <c r="C20" t="s">
        <v>142</v>
      </c>
      <c r="D20" t="s">
        <v>50</v>
      </c>
      <c r="E20" t="s">
        <v>51</v>
      </c>
      <c r="F20" t="s">
        <v>105</v>
      </c>
      <c r="G20" t="s">
        <v>106</v>
      </c>
      <c r="H20" t="s">
        <v>44</v>
      </c>
      <c r="I20" s="6" t="s">
        <v>32</v>
      </c>
      <c r="J20" s="2">
        <v>150</v>
      </c>
      <c r="K20" s="2">
        <v>147</v>
      </c>
      <c r="L20" s="6" t="s">
        <v>92</v>
      </c>
      <c r="M20" s="6" t="s">
        <v>92</v>
      </c>
      <c r="N20" s="7">
        <v>1</v>
      </c>
      <c r="O20" s="6" t="s">
        <v>34</v>
      </c>
      <c r="P20" s="4">
        <v>85</v>
      </c>
      <c r="Q20" s="2">
        <v>66.8</v>
      </c>
      <c r="R20" s="3">
        <v>1.41</v>
      </c>
      <c r="S20" s="5">
        <v>47134</v>
      </c>
      <c r="T20" s="5">
        <v>46022</v>
      </c>
      <c r="U20" t="s">
        <v>108</v>
      </c>
      <c r="V20" s="6" t="s">
        <v>34</v>
      </c>
      <c r="W20" s="6" t="s">
        <v>57</v>
      </c>
    </row>
    <row r="21" spans="1:24">
      <c r="A21" t="s">
        <v>143</v>
      </c>
      <c r="B21" t="s">
        <v>103</v>
      </c>
      <c r="C21" t="s">
        <v>104</v>
      </c>
      <c r="D21" t="s">
        <v>50</v>
      </c>
      <c r="E21" t="s">
        <v>51</v>
      </c>
      <c r="F21" t="s">
        <v>105</v>
      </c>
      <c r="G21" t="s">
        <v>106</v>
      </c>
      <c r="H21" t="s">
        <v>31</v>
      </c>
      <c r="I21" s="6" t="s">
        <v>32</v>
      </c>
      <c r="J21" s="2">
        <v>340</v>
      </c>
      <c r="K21" s="2">
        <v>305</v>
      </c>
      <c r="L21" s="6" t="s">
        <v>92</v>
      </c>
      <c r="M21" s="6" t="s">
        <v>92</v>
      </c>
      <c r="N21" s="7">
        <v>1</v>
      </c>
      <c r="O21" s="6" t="s">
        <v>34</v>
      </c>
      <c r="P21" s="4">
        <v>110</v>
      </c>
      <c r="Q21" s="2">
        <v>177.4</v>
      </c>
      <c r="R21" s="3">
        <v>3.83</v>
      </c>
      <c r="S21" s="5">
        <v>48156</v>
      </c>
      <c r="T21" s="5">
        <v>45932</v>
      </c>
      <c r="U21" t="s">
        <v>113</v>
      </c>
      <c r="V21" s="6" t="s">
        <v>34</v>
      </c>
      <c r="W21" s="6" t="s">
        <v>37</v>
      </c>
    </row>
    <row r="22" spans="1:24">
      <c r="A22" t="s">
        <v>144</v>
      </c>
      <c r="B22" t="s">
        <v>145</v>
      </c>
      <c r="C22" t="s">
        <v>146</v>
      </c>
      <c r="D22" t="s">
        <v>50</v>
      </c>
      <c r="E22" t="s">
        <v>41</v>
      </c>
      <c r="F22" t="s">
        <v>98</v>
      </c>
      <c r="G22" t="s">
        <v>99</v>
      </c>
      <c r="H22" t="s">
        <v>112</v>
      </c>
      <c r="I22" s="6" t="s">
        <v>32</v>
      </c>
      <c r="J22" s="2">
        <v>190</v>
      </c>
      <c r="K22" s="2">
        <v>60</v>
      </c>
      <c r="L22" s="6" t="s">
        <v>73</v>
      </c>
      <c r="M22" s="6" t="s">
        <v>73</v>
      </c>
      <c r="N22" s="7">
        <v>1</v>
      </c>
      <c r="O22" s="6" t="s">
        <v>34</v>
      </c>
      <c r="P22" s="4">
        <v>110</v>
      </c>
      <c r="Q22" s="2">
        <v>87.5</v>
      </c>
      <c r="R22" s="3">
        <v>1.35</v>
      </c>
      <c r="S22" s="5">
        <v>47038</v>
      </c>
      <c r="T22" s="5">
        <v>46138</v>
      </c>
      <c r="U22" t="s">
        <v>100</v>
      </c>
      <c r="V22" s="6" t="s">
        <v>34</v>
      </c>
      <c r="W22" s="6" t="s">
        <v>37</v>
      </c>
    </row>
    <row r="23" spans="1:24">
      <c r="A23" t="s">
        <v>147</v>
      </c>
      <c r="B23" t="s">
        <v>148</v>
      </c>
      <c r="C23" t="s">
        <v>149</v>
      </c>
      <c r="D23" t="s">
        <v>50</v>
      </c>
      <c r="E23" t="s">
        <v>150</v>
      </c>
      <c r="F23" t="s">
        <v>98</v>
      </c>
      <c r="G23" t="s">
        <v>99</v>
      </c>
      <c r="H23" t="s">
        <v>112</v>
      </c>
      <c r="I23" s="6" t="s">
        <v>32</v>
      </c>
      <c r="J23" s="2">
        <v>120</v>
      </c>
      <c r="K23" s="2">
        <v>43</v>
      </c>
      <c r="L23" s="6" t="s">
        <v>33</v>
      </c>
      <c r="M23" s="6" t="s">
        <v>33</v>
      </c>
      <c r="N23" s="7">
        <v>1</v>
      </c>
      <c r="O23" s="6" t="s">
        <v>34</v>
      </c>
      <c r="P23" s="4">
        <v>80</v>
      </c>
      <c r="Q23" s="2">
        <v>44.8</v>
      </c>
      <c r="R23" s="3">
        <v>0.68</v>
      </c>
      <c r="S23" s="5">
        <v>46590</v>
      </c>
      <c r="T23" s="5">
        <v>46094</v>
      </c>
      <c r="U23" t="s">
        <v>100</v>
      </c>
      <c r="V23" s="6" t="s">
        <v>34</v>
      </c>
      <c r="W23" s="6" t="s">
        <v>37</v>
      </c>
    </row>
    <row r="24" spans="1:24">
      <c r="A24" t="s">
        <v>151</v>
      </c>
      <c r="B24" t="s">
        <v>152</v>
      </c>
      <c r="C24" t="s">
        <v>153</v>
      </c>
      <c r="D24" t="s">
        <v>50</v>
      </c>
      <c r="E24" t="s">
        <v>154</v>
      </c>
      <c r="F24" t="s">
        <v>105</v>
      </c>
      <c r="G24" t="s">
        <v>106</v>
      </c>
      <c r="H24" t="s">
        <v>44</v>
      </c>
      <c r="I24" s="6" t="s">
        <v>107</v>
      </c>
      <c r="J24" s="2">
        <v>75</v>
      </c>
      <c r="K24" s="2">
        <v>72</v>
      </c>
      <c r="L24" s="6" t="s">
        <v>92</v>
      </c>
      <c r="M24" s="6" t="s">
        <v>92</v>
      </c>
      <c r="N24" s="7">
        <v>1</v>
      </c>
      <c r="O24" s="6" t="s">
        <v>34</v>
      </c>
      <c r="P24" s="4">
        <v>65</v>
      </c>
      <c r="Q24" s="2">
        <v>33.1</v>
      </c>
      <c r="R24" s="3">
        <v>0.55000000000000004</v>
      </c>
      <c r="S24" s="5">
        <v>47224</v>
      </c>
      <c r="T24" s="5">
        <v>46275</v>
      </c>
      <c r="U24" t="s">
        <v>108</v>
      </c>
      <c r="V24" s="6" t="s">
        <v>34</v>
      </c>
      <c r="W24" s="6" t="s">
        <v>37</v>
      </c>
      <c r="X24" t="s">
        <v>93</v>
      </c>
    </row>
    <row r="25" spans="1:24">
      <c r="A25" t="s">
        <v>155</v>
      </c>
      <c r="B25" t="s">
        <v>156</v>
      </c>
      <c r="C25" t="s">
        <v>157</v>
      </c>
      <c r="D25" t="s">
        <v>27</v>
      </c>
      <c r="E25" t="s">
        <v>150</v>
      </c>
      <c r="F25" t="s">
        <v>52</v>
      </c>
      <c r="G25" t="s">
        <v>53</v>
      </c>
      <c r="H25" t="s">
        <v>112</v>
      </c>
      <c r="I25" s="6" t="s">
        <v>32</v>
      </c>
      <c r="J25" s="2">
        <v>135</v>
      </c>
      <c r="K25" s="2">
        <v>37</v>
      </c>
      <c r="L25" s="6" t="s">
        <v>73</v>
      </c>
      <c r="M25" s="6" t="s">
        <v>73</v>
      </c>
      <c r="N25" s="7">
        <v>1</v>
      </c>
      <c r="O25" s="6" t="s">
        <v>34</v>
      </c>
      <c r="P25" s="4">
        <v>125</v>
      </c>
      <c r="Q25" s="2">
        <v>60.2</v>
      </c>
      <c r="R25" s="3">
        <v>1.03</v>
      </c>
      <c r="S25" s="5">
        <v>47176</v>
      </c>
      <c r="T25" s="5">
        <v>46256</v>
      </c>
      <c r="U25" t="s">
        <v>56</v>
      </c>
      <c r="V25" s="6" t="s">
        <v>34</v>
      </c>
      <c r="W25" s="6" t="s">
        <v>37</v>
      </c>
    </row>
    <row r="26" spans="1:24">
      <c r="A26" t="s">
        <v>158</v>
      </c>
      <c r="B26" t="s">
        <v>159</v>
      </c>
      <c r="C26" t="s">
        <v>160</v>
      </c>
      <c r="D26" t="s">
        <v>27</v>
      </c>
      <c r="E26" t="s">
        <v>161</v>
      </c>
      <c r="F26" t="s">
        <v>105</v>
      </c>
      <c r="G26" t="s">
        <v>106</v>
      </c>
      <c r="H26" t="s">
        <v>112</v>
      </c>
      <c r="I26" s="6" t="s">
        <v>107</v>
      </c>
      <c r="J26" s="2">
        <v>100</v>
      </c>
      <c r="K26" s="2">
        <v>14</v>
      </c>
      <c r="L26" s="6" t="s">
        <v>33</v>
      </c>
      <c r="M26" s="6" t="s">
        <v>33</v>
      </c>
      <c r="N26" s="7">
        <v>1</v>
      </c>
      <c r="O26" s="6" t="s">
        <v>34</v>
      </c>
      <c r="P26" s="4">
        <v>95</v>
      </c>
      <c r="Q26" s="2">
        <v>31.4</v>
      </c>
      <c r="R26" s="3">
        <v>0.52</v>
      </c>
      <c r="S26" s="5">
        <v>48072</v>
      </c>
      <c r="T26" s="5">
        <v>46073</v>
      </c>
      <c r="U26" t="s">
        <v>113</v>
      </c>
      <c r="V26" s="6" t="s">
        <v>34</v>
      </c>
      <c r="W26" s="6" t="s">
        <v>75</v>
      </c>
    </row>
    <row r="27" spans="1:24">
      <c r="A27" t="s">
        <v>162</v>
      </c>
      <c r="B27" t="s">
        <v>163</v>
      </c>
      <c r="C27" t="s">
        <v>164</v>
      </c>
      <c r="D27" t="s">
        <v>27</v>
      </c>
      <c r="E27" t="s">
        <v>28</v>
      </c>
      <c r="F27" t="s">
        <v>165</v>
      </c>
      <c r="G27" t="s">
        <v>106</v>
      </c>
      <c r="H27" t="s">
        <v>31</v>
      </c>
      <c r="I27" s="6" t="s">
        <v>32</v>
      </c>
      <c r="J27" s="2">
        <v>195</v>
      </c>
      <c r="K27" s="2">
        <v>169</v>
      </c>
      <c r="L27" s="6" t="s">
        <v>55</v>
      </c>
      <c r="M27" s="6" t="s">
        <v>55</v>
      </c>
      <c r="N27" s="7">
        <v>1</v>
      </c>
      <c r="O27" s="6" t="s">
        <v>34</v>
      </c>
      <c r="P27" s="4">
        <v>100</v>
      </c>
      <c r="Q27" s="2">
        <v>81.900000000000006</v>
      </c>
      <c r="R27" s="3">
        <v>1.98</v>
      </c>
      <c r="S27" s="5">
        <v>49652</v>
      </c>
      <c r="T27" s="5">
        <v>46060</v>
      </c>
      <c r="U27" t="s">
        <v>113</v>
      </c>
      <c r="V27" s="6" t="s">
        <v>34</v>
      </c>
      <c r="W27" s="6" t="s">
        <v>37</v>
      </c>
    </row>
    <row r="28" spans="1:24">
      <c r="A28" t="s">
        <v>166</v>
      </c>
      <c r="B28" t="s">
        <v>167</v>
      </c>
      <c r="C28" t="s">
        <v>168</v>
      </c>
      <c r="D28" t="s">
        <v>27</v>
      </c>
      <c r="E28" t="s">
        <v>90</v>
      </c>
      <c r="F28" t="s">
        <v>169</v>
      </c>
      <c r="G28" t="s">
        <v>30</v>
      </c>
      <c r="H28" t="s">
        <v>91</v>
      </c>
      <c r="I28" s="6" t="s">
        <v>32</v>
      </c>
      <c r="J28" s="2">
        <v>155</v>
      </c>
      <c r="K28" s="2">
        <v>110</v>
      </c>
      <c r="L28" s="6" t="s">
        <v>55</v>
      </c>
      <c r="M28" s="6" t="s">
        <v>55</v>
      </c>
      <c r="N28" s="7">
        <v>1</v>
      </c>
      <c r="O28" s="6" t="s">
        <v>34</v>
      </c>
      <c r="P28" s="4">
        <v>55</v>
      </c>
      <c r="Q28" s="2">
        <v>41.6</v>
      </c>
      <c r="R28" s="3">
        <v>0.85</v>
      </c>
      <c r="S28" s="5">
        <v>47996</v>
      </c>
      <c r="T28" s="5">
        <v>46181</v>
      </c>
      <c r="U28" t="s">
        <v>35</v>
      </c>
      <c r="V28" s="6" t="s">
        <v>34</v>
      </c>
      <c r="W28" s="6" t="s">
        <v>75</v>
      </c>
    </row>
    <row r="29" spans="1:24">
      <c r="A29" t="s">
        <v>170</v>
      </c>
      <c r="B29" t="s">
        <v>171</v>
      </c>
      <c r="C29" t="s">
        <v>172</v>
      </c>
      <c r="D29" t="s">
        <v>27</v>
      </c>
      <c r="E29" t="s">
        <v>41</v>
      </c>
      <c r="F29" t="s">
        <v>29</v>
      </c>
      <c r="G29" t="s">
        <v>30</v>
      </c>
      <c r="H29" t="s">
        <v>44</v>
      </c>
      <c r="I29" s="6" t="s">
        <v>32</v>
      </c>
      <c r="J29" s="2">
        <v>235</v>
      </c>
      <c r="K29" s="2">
        <v>220</v>
      </c>
      <c r="L29" s="6" t="s">
        <v>54</v>
      </c>
      <c r="M29" s="6" t="s">
        <v>54</v>
      </c>
      <c r="N29" s="7">
        <v>1</v>
      </c>
      <c r="O29" s="6" t="s">
        <v>34</v>
      </c>
      <c r="P29" s="4">
        <v>65</v>
      </c>
      <c r="Q29" s="2">
        <v>68.2</v>
      </c>
      <c r="R29" s="3">
        <v>1.7</v>
      </c>
      <c r="S29" s="5">
        <v>48550</v>
      </c>
      <c r="T29" s="5">
        <v>46032</v>
      </c>
      <c r="U29" t="s">
        <v>35</v>
      </c>
      <c r="V29" s="6" t="s">
        <v>34</v>
      </c>
      <c r="W29" s="6" t="s">
        <v>37</v>
      </c>
      <c r="X29" t="s">
        <v>93</v>
      </c>
    </row>
    <row r="30" spans="1:24">
      <c r="A30" t="s">
        <v>173</v>
      </c>
      <c r="B30" t="s">
        <v>174</v>
      </c>
      <c r="C30" t="s">
        <v>175</v>
      </c>
      <c r="D30" t="s">
        <v>50</v>
      </c>
      <c r="E30" t="s">
        <v>90</v>
      </c>
      <c r="F30" t="s">
        <v>129</v>
      </c>
      <c r="G30" t="s">
        <v>64</v>
      </c>
      <c r="H30" t="s">
        <v>112</v>
      </c>
      <c r="I30" s="6" t="s">
        <v>65</v>
      </c>
      <c r="J30" s="2">
        <v>90</v>
      </c>
      <c r="K30" s="2">
        <v>20</v>
      </c>
      <c r="L30" s="6" t="s">
        <v>33</v>
      </c>
      <c r="M30" s="6" t="s">
        <v>92</v>
      </c>
      <c r="N30" s="7">
        <v>1</v>
      </c>
      <c r="O30" s="6" t="s">
        <v>34</v>
      </c>
      <c r="P30" s="4">
        <v>75</v>
      </c>
      <c r="Q30" s="2">
        <v>30.3</v>
      </c>
      <c r="R30" s="3">
        <v>0.42</v>
      </c>
      <c r="S30" s="5">
        <v>46522</v>
      </c>
      <c r="T30" s="5">
        <v>46267</v>
      </c>
      <c r="U30" t="s">
        <v>66</v>
      </c>
      <c r="V30" s="6" t="s">
        <v>36</v>
      </c>
      <c r="W30" s="6" t="s">
        <v>75</v>
      </c>
      <c r="X30" t="s">
        <v>176</v>
      </c>
    </row>
    <row r="31" spans="1:24">
      <c r="A31" t="s">
        <v>177</v>
      </c>
      <c r="B31" t="s">
        <v>178</v>
      </c>
      <c r="C31" t="s">
        <v>179</v>
      </c>
      <c r="D31" t="s">
        <v>27</v>
      </c>
      <c r="E31" t="s">
        <v>28</v>
      </c>
      <c r="F31" t="s">
        <v>29</v>
      </c>
      <c r="G31" t="s">
        <v>30</v>
      </c>
      <c r="H31" t="s">
        <v>31</v>
      </c>
      <c r="I31" s="6" t="s">
        <v>32</v>
      </c>
      <c r="J31" s="2">
        <v>155</v>
      </c>
      <c r="K31" s="2">
        <v>152</v>
      </c>
      <c r="L31" s="6" t="s">
        <v>45</v>
      </c>
      <c r="M31" s="6" t="s">
        <v>45</v>
      </c>
      <c r="N31" s="7">
        <v>1</v>
      </c>
      <c r="O31" s="6" t="s">
        <v>34</v>
      </c>
      <c r="P31" s="4">
        <v>85</v>
      </c>
      <c r="Q31" s="2">
        <v>53.7</v>
      </c>
      <c r="R31" s="3">
        <v>1.46</v>
      </c>
      <c r="S31" s="5">
        <v>48662</v>
      </c>
      <c r="T31" s="5">
        <v>46253</v>
      </c>
      <c r="U31" t="s">
        <v>35</v>
      </c>
      <c r="V31" s="6" t="s">
        <v>34</v>
      </c>
      <c r="W31" s="6" t="s">
        <v>37</v>
      </c>
    </row>
    <row r="32" spans="1:24">
      <c r="A32" t="s">
        <v>180</v>
      </c>
      <c r="B32" t="s">
        <v>181</v>
      </c>
      <c r="C32" t="s">
        <v>182</v>
      </c>
      <c r="D32" t="s">
        <v>50</v>
      </c>
      <c r="E32" t="s">
        <v>161</v>
      </c>
      <c r="F32" t="s">
        <v>63</v>
      </c>
      <c r="G32" t="s">
        <v>64</v>
      </c>
      <c r="H32" t="s">
        <v>44</v>
      </c>
      <c r="I32" s="6" t="s">
        <v>65</v>
      </c>
      <c r="J32" s="2">
        <v>170</v>
      </c>
      <c r="K32" s="2">
        <v>164</v>
      </c>
      <c r="L32" s="6" t="s">
        <v>130</v>
      </c>
      <c r="M32" s="6" t="s">
        <v>183</v>
      </c>
      <c r="N32" s="7">
        <v>2</v>
      </c>
      <c r="O32" s="6" t="s">
        <v>36</v>
      </c>
      <c r="P32" s="4">
        <v>185</v>
      </c>
      <c r="Q32" s="2">
        <v>183.7</v>
      </c>
      <c r="R32" s="3">
        <v>3.24</v>
      </c>
      <c r="S32" s="5">
        <v>47201</v>
      </c>
      <c r="T32" s="5">
        <v>46233</v>
      </c>
      <c r="U32" t="s">
        <v>66</v>
      </c>
      <c r="V32" s="6" t="s">
        <v>36</v>
      </c>
      <c r="W32" s="6" t="s">
        <v>57</v>
      </c>
      <c r="X32" t="s">
        <v>184</v>
      </c>
    </row>
    <row r="33" spans="1:24">
      <c r="A33" t="s">
        <v>185</v>
      </c>
      <c r="B33" t="s">
        <v>186</v>
      </c>
      <c r="C33" t="s">
        <v>187</v>
      </c>
      <c r="D33" t="s">
        <v>27</v>
      </c>
      <c r="E33" t="s">
        <v>41</v>
      </c>
      <c r="F33" t="s">
        <v>188</v>
      </c>
      <c r="G33" t="s">
        <v>30</v>
      </c>
      <c r="H33" t="s">
        <v>112</v>
      </c>
      <c r="I33" s="6" t="s">
        <v>32</v>
      </c>
      <c r="J33" s="2">
        <v>275</v>
      </c>
      <c r="K33" s="2">
        <v>103</v>
      </c>
      <c r="L33" s="6" t="s">
        <v>33</v>
      </c>
      <c r="M33" s="6" t="s">
        <v>33</v>
      </c>
      <c r="N33" s="7">
        <v>1</v>
      </c>
      <c r="O33" s="6" t="s">
        <v>34</v>
      </c>
      <c r="P33" s="4">
        <v>105</v>
      </c>
      <c r="Q33" s="2">
        <v>104</v>
      </c>
      <c r="R33" s="3">
        <v>1.99</v>
      </c>
      <c r="S33" s="5">
        <v>46785</v>
      </c>
      <c r="T33" s="5">
        <v>46130</v>
      </c>
      <c r="U33" t="s">
        <v>35</v>
      </c>
      <c r="V33" s="6" t="s">
        <v>34</v>
      </c>
      <c r="W33" s="6" t="s">
        <v>75</v>
      </c>
    </row>
    <row r="34" spans="1:24">
      <c r="A34" t="s">
        <v>189</v>
      </c>
      <c r="B34" t="s">
        <v>118</v>
      </c>
      <c r="C34" t="s">
        <v>119</v>
      </c>
      <c r="D34" t="s">
        <v>50</v>
      </c>
      <c r="E34" t="s">
        <v>120</v>
      </c>
      <c r="F34" t="s">
        <v>42</v>
      </c>
      <c r="G34" t="s">
        <v>43</v>
      </c>
      <c r="H34" t="s">
        <v>44</v>
      </c>
      <c r="I34" s="6" t="s">
        <v>32</v>
      </c>
      <c r="J34" s="2">
        <v>255</v>
      </c>
      <c r="K34" s="2">
        <v>231</v>
      </c>
      <c r="L34" s="6" t="s">
        <v>54</v>
      </c>
      <c r="M34" s="6" t="s">
        <v>54</v>
      </c>
      <c r="N34" s="7">
        <v>1</v>
      </c>
      <c r="O34" s="6" t="s">
        <v>34</v>
      </c>
      <c r="P34" s="4">
        <v>55</v>
      </c>
      <c r="Q34" s="2">
        <v>72.900000000000006</v>
      </c>
      <c r="R34" s="3">
        <v>1.57</v>
      </c>
      <c r="S34" s="5">
        <v>48026</v>
      </c>
      <c r="T34" s="5">
        <v>46233</v>
      </c>
      <c r="U34" t="s">
        <v>46</v>
      </c>
      <c r="V34" s="6" t="s">
        <v>34</v>
      </c>
      <c r="W34" s="6" t="s">
        <v>75</v>
      </c>
    </row>
    <row r="35" spans="1:24">
      <c r="A35" t="s">
        <v>190</v>
      </c>
      <c r="B35" t="s">
        <v>191</v>
      </c>
      <c r="C35" t="s">
        <v>192</v>
      </c>
      <c r="D35" t="s">
        <v>27</v>
      </c>
      <c r="E35" t="s">
        <v>28</v>
      </c>
      <c r="F35" t="s">
        <v>129</v>
      </c>
      <c r="G35" t="s">
        <v>64</v>
      </c>
      <c r="H35" t="s">
        <v>44</v>
      </c>
      <c r="I35" s="6" t="s">
        <v>65</v>
      </c>
      <c r="J35" s="2">
        <v>165</v>
      </c>
      <c r="K35" s="2">
        <v>160</v>
      </c>
      <c r="L35" s="6" t="s">
        <v>183</v>
      </c>
      <c r="M35" s="6" t="s">
        <v>183</v>
      </c>
      <c r="N35" s="7">
        <v>1</v>
      </c>
      <c r="O35" s="6" t="s">
        <v>34</v>
      </c>
      <c r="P35" s="4">
        <v>175</v>
      </c>
      <c r="Q35" s="2">
        <v>146.19999999999999</v>
      </c>
      <c r="R35" s="3">
        <v>3</v>
      </c>
      <c r="S35" s="5">
        <v>48533</v>
      </c>
      <c r="T35" s="5">
        <v>46059</v>
      </c>
      <c r="U35" t="s">
        <v>66</v>
      </c>
      <c r="V35" s="6" t="s">
        <v>34</v>
      </c>
      <c r="W35" s="6" t="s">
        <v>75</v>
      </c>
    </row>
    <row r="36" spans="1:24">
      <c r="A36" t="s">
        <v>193</v>
      </c>
      <c r="B36" t="s">
        <v>194</v>
      </c>
      <c r="C36" t="s">
        <v>195</v>
      </c>
      <c r="D36" t="s">
        <v>27</v>
      </c>
      <c r="E36" t="s">
        <v>62</v>
      </c>
      <c r="F36" t="s">
        <v>29</v>
      </c>
      <c r="G36" t="s">
        <v>30</v>
      </c>
      <c r="H36" t="s">
        <v>91</v>
      </c>
      <c r="I36" s="6" t="s">
        <v>32</v>
      </c>
      <c r="J36" s="2">
        <v>125</v>
      </c>
      <c r="K36" s="2">
        <v>78</v>
      </c>
      <c r="L36" s="6" t="s">
        <v>55</v>
      </c>
      <c r="M36" s="6" t="s">
        <v>55</v>
      </c>
      <c r="N36" s="7">
        <v>1</v>
      </c>
      <c r="O36" s="6" t="s">
        <v>34</v>
      </c>
      <c r="P36" s="4">
        <v>55</v>
      </c>
      <c r="Q36" s="2">
        <v>30.6</v>
      </c>
      <c r="R36" s="3">
        <v>0.64</v>
      </c>
      <c r="S36" s="5">
        <v>47991</v>
      </c>
      <c r="T36" s="5">
        <v>46020</v>
      </c>
      <c r="U36" t="s">
        <v>35</v>
      </c>
      <c r="V36" s="6" t="s">
        <v>34</v>
      </c>
      <c r="W36" s="6" t="s">
        <v>75</v>
      </c>
    </row>
    <row r="37" spans="1:24">
      <c r="A37" t="s">
        <v>196</v>
      </c>
      <c r="B37" t="s">
        <v>82</v>
      </c>
      <c r="C37" t="s">
        <v>83</v>
      </c>
      <c r="D37" t="s">
        <v>50</v>
      </c>
      <c r="E37" t="s">
        <v>51</v>
      </c>
      <c r="F37" t="s">
        <v>84</v>
      </c>
      <c r="G37" t="s">
        <v>85</v>
      </c>
      <c r="H37" t="s">
        <v>112</v>
      </c>
      <c r="I37" s="6" t="s">
        <v>32</v>
      </c>
      <c r="J37" s="2">
        <v>175</v>
      </c>
      <c r="K37" s="2">
        <v>32</v>
      </c>
      <c r="L37" s="6" t="s">
        <v>33</v>
      </c>
      <c r="M37" s="6" t="s">
        <v>33</v>
      </c>
      <c r="N37" s="7">
        <v>1</v>
      </c>
      <c r="O37" s="6" t="s">
        <v>34</v>
      </c>
      <c r="P37" s="4">
        <v>85</v>
      </c>
      <c r="Q37" s="2">
        <v>56.9</v>
      </c>
      <c r="R37" s="3">
        <v>0.87</v>
      </c>
      <c r="S37" s="5">
        <v>47299</v>
      </c>
      <c r="T37" s="5">
        <v>46040</v>
      </c>
      <c r="U37" t="s">
        <v>86</v>
      </c>
      <c r="V37" s="6" t="s">
        <v>34</v>
      </c>
      <c r="W37" s="6" t="s">
        <v>75</v>
      </c>
    </row>
    <row r="38" spans="1:24">
      <c r="A38" t="s">
        <v>197</v>
      </c>
      <c r="B38" t="s">
        <v>198</v>
      </c>
      <c r="C38" t="s">
        <v>199</v>
      </c>
      <c r="D38" t="s">
        <v>50</v>
      </c>
      <c r="E38" t="s">
        <v>51</v>
      </c>
      <c r="F38" t="s">
        <v>188</v>
      </c>
      <c r="G38" t="s">
        <v>30</v>
      </c>
      <c r="H38" t="s">
        <v>44</v>
      </c>
      <c r="I38" s="6" t="s">
        <v>32</v>
      </c>
      <c r="J38" s="2">
        <v>380</v>
      </c>
      <c r="K38" s="2">
        <v>364</v>
      </c>
      <c r="L38" s="6" t="s">
        <v>92</v>
      </c>
      <c r="M38" s="6" t="s">
        <v>33</v>
      </c>
      <c r="N38" s="7">
        <v>1</v>
      </c>
      <c r="O38" s="6" t="s">
        <v>34</v>
      </c>
      <c r="P38" s="4">
        <v>65</v>
      </c>
      <c r="Q38" s="2">
        <v>167.4</v>
      </c>
      <c r="R38" s="3">
        <v>2.78</v>
      </c>
      <c r="S38" s="5">
        <v>48476</v>
      </c>
      <c r="T38" s="5">
        <v>45931</v>
      </c>
      <c r="U38" t="s">
        <v>35</v>
      </c>
      <c r="V38" s="6" t="s">
        <v>36</v>
      </c>
      <c r="W38" s="6" t="s">
        <v>37</v>
      </c>
      <c r="X38" t="s">
        <v>58</v>
      </c>
    </row>
    <row r="39" spans="1:24">
      <c r="A39" t="s">
        <v>200</v>
      </c>
      <c r="B39" t="s">
        <v>201</v>
      </c>
      <c r="C39" t="s">
        <v>202</v>
      </c>
      <c r="D39" t="s">
        <v>27</v>
      </c>
      <c r="E39" t="s">
        <v>97</v>
      </c>
      <c r="F39" t="s">
        <v>105</v>
      </c>
      <c r="G39" t="s">
        <v>106</v>
      </c>
      <c r="H39" t="s">
        <v>91</v>
      </c>
      <c r="I39" s="6" t="s">
        <v>32</v>
      </c>
      <c r="J39" s="2">
        <v>265</v>
      </c>
      <c r="K39" s="2">
        <v>139</v>
      </c>
      <c r="L39" s="6" t="s">
        <v>92</v>
      </c>
      <c r="M39" s="6" t="s">
        <v>92</v>
      </c>
      <c r="N39" s="7">
        <v>1</v>
      </c>
      <c r="O39" s="6" t="s">
        <v>34</v>
      </c>
      <c r="P39" s="4">
        <v>60</v>
      </c>
      <c r="Q39" s="2">
        <v>73.900000000000006</v>
      </c>
      <c r="R39" s="3">
        <v>1.36</v>
      </c>
      <c r="S39" s="5">
        <v>47808</v>
      </c>
      <c r="T39" s="5">
        <v>46118</v>
      </c>
      <c r="U39" t="s">
        <v>125</v>
      </c>
      <c r="V39" s="6" t="s">
        <v>34</v>
      </c>
      <c r="W39" s="6" t="s">
        <v>37</v>
      </c>
    </row>
    <row r="40" spans="1:24">
      <c r="A40" t="s">
        <v>203</v>
      </c>
      <c r="B40" t="s">
        <v>204</v>
      </c>
      <c r="C40" t="s">
        <v>205</v>
      </c>
      <c r="D40" t="s">
        <v>50</v>
      </c>
      <c r="E40" t="s">
        <v>97</v>
      </c>
      <c r="F40" t="s">
        <v>105</v>
      </c>
      <c r="G40" t="s">
        <v>106</v>
      </c>
      <c r="H40" t="s">
        <v>44</v>
      </c>
      <c r="I40" s="6" t="s">
        <v>107</v>
      </c>
      <c r="J40" s="2">
        <v>115</v>
      </c>
      <c r="K40" s="2">
        <v>105</v>
      </c>
      <c r="L40" s="6" t="s">
        <v>55</v>
      </c>
      <c r="M40" s="6" t="s">
        <v>55</v>
      </c>
      <c r="N40" s="7">
        <v>1</v>
      </c>
      <c r="O40" s="6" t="s">
        <v>34</v>
      </c>
      <c r="P40" s="4">
        <v>60</v>
      </c>
      <c r="Q40" s="2">
        <v>38.5</v>
      </c>
      <c r="R40" s="3">
        <v>0.77</v>
      </c>
      <c r="S40" s="5">
        <v>47112</v>
      </c>
      <c r="T40" s="5">
        <v>45800</v>
      </c>
      <c r="U40" t="s">
        <v>113</v>
      </c>
      <c r="V40" s="6" t="s">
        <v>36</v>
      </c>
      <c r="W40" s="6" t="s">
        <v>37</v>
      </c>
      <c r="X40" t="s">
        <v>67</v>
      </c>
    </row>
    <row r="41" spans="1:24">
      <c r="A41" t="s">
        <v>206</v>
      </c>
      <c r="B41" t="s">
        <v>207</v>
      </c>
      <c r="C41" t="s">
        <v>208</v>
      </c>
      <c r="D41" t="s">
        <v>50</v>
      </c>
      <c r="E41" t="s">
        <v>71</v>
      </c>
      <c r="F41" t="s">
        <v>98</v>
      </c>
      <c r="G41" t="s">
        <v>99</v>
      </c>
      <c r="H41" t="s">
        <v>44</v>
      </c>
      <c r="I41" s="6" t="s">
        <v>32</v>
      </c>
      <c r="J41" s="2">
        <v>280</v>
      </c>
      <c r="K41" s="2">
        <v>271</v>
      </c>
      <c r="L41" s="6" t="s">
        <v>33</v>
      </c>
      <c r="M41" s="6" t="s">
        <v>33</v>
      </c>
      <c r="N41" s="7">
        <v>1</v>
      </c>
      <c r="O41" s="6" t="s">
        <v>34</v>
      </c>
      <c r="P41" s="4">
        <v>95</v>
      </c>
      <c r="Q41" s="2">
        <v>151.5</v>
      </c>
      <c r="R41" s="3">
        <v>2.88</v>
      </c>
      <c r="S41" s="5">
        <v>47944</v>
      </c>
      <c r="T41" s="5">
        <v>45902</v>
      </c>
      <c r="U41" t="s">
        <v>100</v>
      </c>
      <c r="V41" s="6" t="s">
        <v>34</v>
      </c>
      <c r="W41" s="6" t="s">
        <v>75</v>
      </c>
      <c r="X41" t="s">
        <v>67</v>
      </c>
    </row>
    <row r="42" spans="1:24">
      <c r="A42" t="s">
        <v>209</v>
      </c>
      <c r="B42" t="s">
        <v>210</v>
      </c>
      <c r="C42" t="s">
        <v>211</v>
      </c>
      <c r="D42" t="s">
        <v>50</v>
      </c>
      <c r="E42" t="s">
        <v>161</v>
      </c>
      <c r="F42" t="s">
        <v>52</v>
      </c>
      <c r="G42" t="s">
        <v>53</v>
      </c>
      <c r="H42" t="s">
        <v>44</v>
      </c>
      <c r="I42" s="6" t="s">
        <v>32</v>
      </c>
      <c r="J42" s="2">
        <v>215</v>
      </c>
      <c r="K42" s="2">
        <v>199</v>
      </c>
      <c r="L42" s="6" t="s">
        <v>33</v>
      </c>
      <c r="M42" s="6" t="s">
        <v>33</v>
      </c>
      <c r="N42" s="7">
        <v>1</v>
      </c>
      <c r="O42" s="6" t="s">
        <v>34</v>
      </c>
      <c r="P42" s="4">
        <v>105</v>
      </c>
      <c r="Q42" s="2">
        <v>113.9</v>
      </c>
      <c r="R42" s="3">
        <v>2.36</v>
      </c>
      <c r="S42" s="5">
        <v>48417</v>
      </c>
      <c r="T42" s="5">
        <v>46183</v>
      </c>
      <c r="U42" t="s">
        <v>56</v>
      </c>
      <c r="V42" s="6" t="s">
        <v>34</v>
      </c>
      <c r="W42" s="6" t="s">
        <v>37</v>
      </c>
    </row>
    <row r="43" spans="1:24">
      <c r="A43" t="s">
        <v>212</v>
      </c>
      <c r="B43" t="s">
        <v>213</v>
      </c>
      <c r="C43" t="s">
        <v>214</v>
      </c>
      <c r="D43" t="s">
        <v>27</v>
      </c>
      <c r="E43" t="s">
        <v>62</v>
      </c>
      <c r="F43" t="s">
        <v>129</v>
      </c>
      <c r="G43" t="s">
        <v>64</v>
      </c>
      <c r="H43" t="s">
        <v>112</v>
      </c>
      <c r="I43" s="6" t="s">
        <v>65</v>
      </c>
      <c r="J43" s="2">
        <v>100</v>
      </c>
      <c r="K43" s="2">
        <v>14</v>
      </c>
      <c r="L43" s="6" t="s">
        <v>45</v>
      </c>
      <c r="M43" s="6" t="s">
        <v>45</v>
      </c>
      <c r="N43" s="7">
        <v>1</v>
      </c>
      <c r="O43" s="6" t="s">
        <v>34</v>
      </c>
      <c r="P43" s="4">
        <v>55</v>
      </c>
      <c r="Q43" s="2">
        <v>14.2</v>
      </c>
      <c r="R43" s="3">
        <v>0.34</v>
      </c>
      <c r="S43" s="5">
        <v>47908</v>
      </c>
      <c r="T43" s="5">
        <v>46261</v>
      </c>
      <c r="U43" t="s">
        <v>66</v>
      </c>
      <c r="V43" s="6" t="s">
        <v>34</v>
      </c>
      <c r="W43" s="6" t="s">
        <v>37</v>
      </c>
    </row>
    <row r="44" spans="1:24">
      <c r="A44" t="s">
        <v>215</v>
      </c>
      <c r="B44" t="s">
        <v>216</v>
      </c>
      <c r="C44" t="s">
        <v>217</v>
      </c>
      <c r="D44" t="s">
        <v>27</v>
      </c>
      <c r="E44" t="s">
        <v>28</v>
      </c>
      <c r="F44" t="s">
        <v>84</v>
      </c>
      <c r="G44" t="s">
        <v>85</v>
      </c>
      <c r="H44" t="s">
        <v>31</v>
      </c>
      <c r="I44" s="6" t="s">
        <v>32</v>
      </c>
      <c r="J44" s="2">
        <v>400</v>
      </c>
      <c r="K44" s="2">
        <v>400</v>
      </c>
      <c r="L44" s="6" t="s">
        <v>92</v>
      </c>
      <c r="M44" s="6" t="s">
        <v>92</v>
      </c>
      <c r="N44" s="7">
        <v>1</v>
      </c>
      <c r="O44" s="6" t="s">
        <v>34</v>
      </c>
      <c r="P44" s="4">
        <v>110</v>
      </c>
      <c r="Q44" s="2">
        <v>220</v>
      </c>
      <c r="R44" s="3">
        <v>4.8</v>
      </c>
      <c r="S44" s="5">
        <v>49534</v>
      </c>
      <c r="T44" s="5">
        <v>46128</v>
      </c>
      <c r="U44" t="s">
        <v>86</v>
      </c>
      <c r="V44" s="6" t="s">
        <v>34</v>
      </c>
      <c r="W44" s="6" t="s">
        <v>75</v>
      </c>
    </row>
    <row r="45" spans="1:24">
      <c r="A45" t="s">
        <v>218</v>
      </c>
      <c r="B45" t="s">
        <v>219</v>
      </c>
      <c r="C45" t="s">
        <v>220</v>
      </c>
      <c r="D45" t="s">
        <v>27</v>
      </c>
      <c r="E45" t="s">
        <v>150</v>
      </c>
      <c r="F45" t="s">
        <v>42</v>
      </c>
      <c r="G45" t="s">
        <v>43</v>
      </c>
      <c r="H45" t="s">
        <v>44</v>
      </c>
      <c r="I45" s="6" t="s">
        <v>32</v>
      </c>
      <c r="J45" s="2">
        <v>220</v>
      </c>
      <c r="K45" s="2">
        <v>202</v>
      </c>
      <c r="L45" s="6" t="s">
        <v>183</v>
      </c>
      <c r="M45" s="6" t="s">
        <v>183</v>
      </c>
      <c r="N45" s="7">
        <v>1</v>
      </c>
      <c r="O45" s="6" t="s">
        <v>34</v>
      </c>
      <c r="P45" s="4">
        <v>175</v>
      </c>
      <c r="Q45" s="2">
        <v>189.9</v>
      </c>
      <c r="R45" s="3">
        <v>3.87</v>
      </c>
      <c r="S45" s="5">
        <v>47589</v>
      </c>
      <c r="T45" s="5">
        <v>46241</v>
      </c>
      <c r="U45" t="s">
        <v>46</v>
      </c>
      <c r="V45" s="6" t="s">
        <v>34</v>
      </c>
      <c r="W45" s="6" t="s">
        <v>75</v>
      </c>
      <c r="X45" t="s">
        <v>93</v>
      </c>
    </row>
    <row r="46" spans="1:24">
      <c r="A46" t="s">
        <v>221</v>
      </c>
      <c r="B46" t="s">
        <v>222</v>
      </c>
      <c r="C46" t="s">
        <v>223</v>
      </c>
      <c r="D46" t="s">
        <v>27</v>
      </c>
      <c r="E46" t="s">
        <v>90</v>
      </c>
      <c r="F46" t="s">
        <v>165</v>
      </c>
      <c r="G46" t="s">
        <v>106</v>
      </c>
      <c r="H46" t="s">
        <v>44</v>
      </c>
      <c r="I46" s="6" t="s">
        <v>32</v>
      </c>
      <c r="J46" s="2">
        <v>165</v>
      </c>
      <c r="K46" s="2">
        <v>155</v>
      </c>
      <c r="L46" s="6" t="s">
        <v>73</v>
      </c>
      <c r="M46" s="6" t="s">
        <v>33</v>
      </c>
      <c r="N46" s="7">
        <v>1</v>
      </c>
      <c r="O46" s="6" t="s">
        <v>34</v>
      </c>
      <c r="P46" s="4">
        <v>130</v>
      </c>
      <c r="Q46" s="2">
        <v>112</v>
      </c>
      <c r="R46" s="3">
        <v>2.23</v>
      </c>
      <c r="S46" s="5">
        <v>47549</v>
      </c>
      <c r="T46" s="5">
        <v>46287</v>
      </c>
      <c r="U46" t="s">
        <v>125</v>
      </c>
      <c r="V46" s="6" t="s">
        <v>34</v>
      </c>
      <c r="W46" s="6" t="s">
        <v>57</v>
      </c>
      <c r="X46" t="s">
        <v>176</v>
      </c>
    </row>
    <row r="47" spans="1:24">
      <c r="A47" t="s">
        <v>224</v>
      </c>
      <c r="B47" t="s">
        <v>78</v>
      </c>
      <c r="C47" t="s">
        <v>79</v>
      </c>
      <c r="D47" t="s">
        <v>50</v>
      </c>
      <c r="E47" t="s">
        <v>51</v>
      </c>
      <c r="F47" t="s">
        <v>80</v>
      </c>
      <c r="G47" t="s">
        <v>30</v>
      </c>
      <c r="H47" t="s">
        <v>121</v>
      </c>
      <c r="I47" s="6" t="s">
        <v>32</v>
      </c>
      <c r="J47" s="2">
        <v>140</v>
      </c>
      <c r="K47" s="2">
        <v>140</v>
      </c>
      <c r="L47" s="6" t="s">
        <v>73</v>
      </c>
      <c r="M47" s="6" t="s">
        <v>73</v>
      </c>
      <c r="N47" s="7">
        <v>1</v>
      </c>
      <c r="O47" s="6" t="s">
        <v>34</v>
      </c>
      <c r="P47" s="4">
        <v>100</v>
      </c>
      <c r="Q47" s="2">
        <v>98</v>
      </c>
      <c r="R47" s="3">
        <v>1.54</v>
      </c>
      <c r="S47" s="5">
        <v>47072</v>
      </c>
      <c r="T47" s="5">
        <v>46289</v>
      </c>
      <c r="U47" t="s">
        <v>35</v>
      </c>
      <c r="V47" s="6" t="s">
        <v>34</v>
      </c>
      <c r="W47" s="6" t="s">
        <v>57</v>
      </c>
    </row>
    <row r="48" spans="1:24">
      <c r="A48" t="s">
        <v>225</v>
      </c>
      <c r="B48" t="s">
        <v>213</v>
      </c>
      <c r="C48" t="s">
        <v>214</v>
      </c>
      <c r="D48" t="s">
        <v>27</v>
      </c>
      <c r="E48" t="s">
        <v>62</v>
      </c>
      <c r="F48" t="s">
        <v>129</v>
      </c>
      <c r="G48" t="s">
        <v>64</v>
      </c>
      <c r="H48" t="s">
        <v>91</v>
      </c>
      <c r="I48" s="6" t="s">
        <v>65</v>
      </c>
      <c r="J48" s="2">
        <v>310</v>
      </c>
      <c r="K48" s="2">
        <v>185</v>
      </c>
      <c r="L48" s="6" t="s">
        <v>45</v>
      </c>
      <c r="M48" s="6" t="s">
        <v>45</v>
      </c>
      <c r="N48" s="7">
        <v>1</v>
      </c>
      <c r="O48" s="6" t="s">
        <v>34</v>
      </c>
      <c r="P48" s="4">
        <v>40</v>
      </c>
      <c r="Q48" s="2">
        <v>52.5</v>
      </c>
      <c r="R48" s="3">
        <v>1.23</v>
      </c>
      <c r="S48" s="5">
        <v>47978</v>
      </c>
      <c r="T48" s="5">
        <v>46261</v>
      </c>
      <c r="U48" t="s">
        <v>66</v>
      </c>
      <c r="V48" s="6" t="s">
        <v>34</v>
      </c>
      <c r="W48" s="6" t="s">
        <v>57</v>
      </c>
      <c r="X48" t="s">
        <v>226</v>
      </c>
    </row>
    <row r="49" spans="1:24">
      <c r="A49" t="s">
        <v>227</v>
      </c>
      <c r="B49" t="s">
        <v>228</v>
      </c>
      <c r="C49" t="s">
        <v>229</v>
      </c>
      <c r="D49" t="s">
        <v>27</v>
      </c>
      <c r="E49" t="s">
        <v>154</v>
      </c>
      <c r="F49" t="s">
        <v>42</v>
      </c>
      <c r="G49" t="s">
        <v>43</v>
      </c>
      <c r="H49" t="s">
        <v>44</v>
      </c>
      <c r="I49" s="6" t="s">
        <v>32</v>
      </c>
      <c r="J49" s="2">
        <v>90</v>
      </c>
      <c r="K49" s="2">
        <v>86</v>
      </c>
      <c r="L49" s="6" t="s">
        <v>55</v>
      </c>
      <c r="M49" s="6" t="s">
        <v>55</v>
      </c>
      <c r="N49" s="7">
        <v>1</v>
      </c>
      <c r="O49" s="6" t="s">
        <v>34</v>
      </c>
      <c r="P49" s="4">
        <v>65</v>
      </c>
      <c r="Q49" s="2">
        <v>30.8</v>
      </c>
      <c r="R49" s="3">
        <v>0.66</v>
      </c>
      <c r="S49" s="5">
        <v>48014</v>
      </c>
      <c r="T49" s="5">
        <v>46118</v>
      </c>
      <c r="U49" t="s">
        <v>46</v>
      </c>
      <c r="V49" s="6" t="s">
        <v>34</v>
      </c>
      <c r="W49" s="6" t="s">
        <v>75</v>
      </c>
      <c r="X49" t="s">
        <v>76</v>
      </c>
    </row>
    <row r="50" spans="1:24">
      <c r="A50" t="s">
        <v>230</v>
      </c>
      <c r="B50" t="s">
        <v>69</v>
      </c>
      <c r="C50" t="s">
        <v>70</v>
      </c>
      <c r="D50" t="s">
        <v>50</v>
      </c>
      <c r="E50" t="s">
        <v>71</v>
      </c>
      <c r="F50" t="s">
        <v>188</v>
      </c>
      <c r="G50" t="s">
        <v>30</v>
      </c>
      <c r="H50" t="s">
        <v>44</v>
      </c>
      <c r="I50" s="6" t="s">
        <v>32</v>
      </c>
      <c r="J50" s="2">
        <v>105</v>
      </c>
      <c r="K50" s="2">
        <v>96</v>
      </c>
      <c r="L50" s="6" t="s">
        <v>73</v>
      </c>
      <c r="M50" s="6" t="s">
        <v>73</v>
      </c>
      <c r="N50" s="7">
        <v>1</v>
      </c>
      <c r="O50" s="6" t="s">
        <v>34</v>
      </c>
      <c r="P50" s="4">
        <v>120</v>
      </c>
      <c r="Q50" s="2">
        <v>70.3</v>
      </c>
      <c r="R50" s="3">
        <v>1.29</v>
      </c>
      <c r="S50" s="5">
        <v>46557</v>
      </c>
      <c r="T50" s="5">
        <v>46003</v>
      </c>
      <c r="U50" t="s">
        <v>74</v>
      </c>
      <c r="V50" s="6" t="s">
        <v>36</v>
      </c>
      <c r="W50" s="6" t="s">
        <v>75</v>
      </c>
    </row>
    <row r="51" spans="1:24">
      <c r="A51" t="s">
        <v>231</v>
      </c>
      <c r="B51" t="s">
        <v>232</v>
      </c>
      <c r="C51" t="s">
        <v>233</v>
      </c>
      <c r="D51" t="s">
        <v>50</v>
      </c>
      <c r="E51" t="s">
        <v>120</v>
      </c>
      <c r="F51" t="s">
        <v>105</v>
      </c>
      <c r="G51" t="s">
        <v>106</v>
      </c>
      <c r="H51" t="s">
        <v>112</v>
      </c>
      <c r="I51" s="6" t="s">
        <v>32</v>
      </c>
      <c r="J51" s="2">
        <v>145</v>
      </c>
      <c r="K51" s="2">
        <v>55</v>
      </c>
      <c r="L51" s="6" t="s">
        <v>92</v>
      </c>
      <c r="M51" s="6" t="s">
        <v>92</v>
      </c>
      <c r="N51" s="7">
        <v>1</v>
      </c>
      <c r="O51" s="6" t="s">
        <v>34</v>
      </c>
      <c r="P51" s="4">
        <v>65</v>
      </c>
      <c r="Q51" s="2">
        <v>45</v>
      </c>
      <c r="R51" s="3">
        <v>0.71</v>
      </c>
      <c r="S51" s="5">
        <v>48199</v>
      </c>
      <c r="T51" s="5">
        <v>45932</v>
      </c>
      <c r="U51" t="s">
        <v>108</v>
      </c>
      <c r="V51" s="6" t="s">
        <v>34</v>
      </c>
      <c r="W51" s="6" t="s">
        <v>75</v>
      </c>
    </row>
    <row r="52" spans="1:24">
      <c r="A52" t="s">
        <v>234</v>
      </c>
      <c r="B52" t="s">
        <v>235</v>
      </c>
      <c r="C52" t="s">
        <v>236</v>
      </c>
      <c r="D52" t="s">
        <v>27</v>
      </c>
      <c r="E52" t="s">
        <v>97</v>
      </c>
      <c r="F52" t="s">
        <v>129</v>
      </c>
      <c r="G52" t="s">
        <v>64</v>
      </c>
      <c r="H52" t="s">
        <v>112</v>
      </c>
      <c r="I52" s="6" t="s">
        <v>65</v>
      </c>
      <c r="J52" s="2">
        <v>295</v>
      </c>
      <c r="K52" s="2">
        <v>105</v>
      </c>
      <c r="L52" s="6" t="s">
        <v>33</v>
      </c>
      <c r="M52" s="6" t="s">
        <v>33</v>
      </c>
      <c r="N52" s="7">
        <v>1</v>
      </c>
      <c r="O52" s="6" t="s">
        <v>34</v>
      </c>
      <c r="P52" s="4">
        <v>100</v>
      </c>
      <c r="Q52" s="2">
        <v>110</v>
      </c>
      <c r="R52" s="3">
        <v>2.0099999999999998</v>
      </c>
      <c r="S52" s="5">
        <v>47276</v>
      </c>
      <c r="T52" s="5">
        <v>46045</v>
      </c>
      <c r="U52" t="s">
        <v>66</v>
      </c>
      <c r="V52" s="6" t="s">
        <v>34</v>
      </c>
      <c r="W52" s="6" t="s">
        <v>57</v>
      </c>
    </row>
    <row r="53" spans="1:24">
      <c r="A53" t="s">
        <v>237</v>
      </c>
      <c r="B53" t="s">
        <v>238</v>
      </c>
      <c r="C53" t="s">
        <v>239</v>
      </c>
      <c r="D53" t="s">
        <v>50</v>
      </c>
      <c r="E53" t="s">
        <v>51</v>
      </c>
      <c r="F53" t="s">
        <v>52</v>
      </c>
      <c r="G53" t="s">
        <v>53</v>
      </c>
      <c r="H53" t="s">
        <v>44</v>
      </c>
      <c r="I53" s="6" t="s">
        <v>32</v>
      </c>
      <c r="J53" s="2">
        <v>295</v>
      </c>
      <c r="K53" s="2">
        <v>266</v>
      </c>
      <c r="L53" s="6" t="s">
        <v>92</v>
      </c>
      <c r="M53" s="6" t="s">
        <v>92</v>
      </c>
      <c r="N53" s="7">
        <v>1</v>
      </c>
      <c r="O53" s="6" t="s">
        <v>34</v>
      </c>
      <c r="P53" s="4">
        <v>65</v>
      </c>
      <c r="Q53" s="2">
        <v>126.2</v>
      </c>
      <c r="R53" s="3">
        <v>2.09</v>
      </c>
      <c r="S53" s="5">
        <v>48500</v>
      </c>
      <c r="T53" s="5">
        <v>46225</v>
      </c>
      <c r="U53" t="s">
        <v>56</v>
      </c>
      <c r="V53" s="6" t="s">
        <v>34</v>
      </c>
      <c r="W53" s="6" t="s">
        <v>75</v>
      </c>
    </row>
    <row r="54" spans="1:24">
      <c r="A54" t="s">
        <v>240</v>
      </c>
      <c r="B54" t="s">
        <v>241</v>
      </c>
      <c r="C54" t="s">
        <v>242</v>
      </c>
      <c r="D54" t="s">
        <v>50</v>
      </c>
      <c r="E54" t="s">
        <v>150</v>
      </c>
      <c r="F54" t="s">
        <v>188</v>
      </c>
      <c r="G54" t="s">
        <v>30</v>
      </c>
      <c r="H54" t="s">
        <v>44</v>
      </c>
      <c r="I54" s="6" t="s">
        <v>32</v>
      </c>
      <c r="J54" s="2">
        <v>170</v>
      </c>
      <c r="K54" s="2">
        <v>162</v>
      </c>
      <c r="L54" s="6" t="s">
        <v>54</v>
      </c>
      <c r="M54" s="6" t="s">
        <v>54</v>
      </c>
      <c r="N54" s="7">
        <v>1</v>
      </c>
      <c r="O54" s="6" t="s">
        <v>34</v>
      </c>
      <c r="P54" s="4">
        <v>50</v>
      </c>
      <c r="Q54" s="2">
        <v>49.8</v>
      </c>
      <c r="R54" s="3">
        <v>0.99</v>
      </c>
      <c r="S54" s="5">
        <v>46923</v>
      </c>
      <c r="T54" s="5">
        <v>46091</v>
      </c>
      <c r="U54" t="s">
        <v>74</v>
      </c>
      <c r="V54" s="6" t="s">
        <v>34</v>
      </c>
      <c r="W54" s="6" t="s">
        <v>37</v>
      </c>
    </row>
    <row r="55" spans="1:24">
      <c r="A55" t="s">
        <v>243</v>
      </c>
      <c r="B55" t="s">
        <v>244</v>
      </c>
      <c r="C55" t="s">
        <v>245</v>
      </c>
      <c r="D55" t="s">
        <v>50</v>
      </c>
      <c r="E55" t="s">
        <v>97</v>
      </c>
      <c r="F55" t="s">
        <v>188</v>
      </c>
      <c r="G55" t="s">
        <v>30</v>
      </c>
      <c r="H55" t="s">
        <v>112</v>
      </c>
      <c r="I55" s="6" t="s">
        <v>32</v>
      </c>
      <c r="J55" s="2">
        <v>175</v>
      </c>
      <c r="K55" s="2">
        <v>60</v>
      </c>
      <c r="L55" s="6" t="s">
        <v>130</v>
      </c>
      <c r="M55" s="6" t="s">
        <v>130</v>
      </c>
      <c r="N55" s="7">
        <v>2</v>
      </c>
      <c r="O55" s="6" t="s">
        <v>34</v>
      </c>
      <c r="P55" s="4">
        <v>195</v>
      </c>
      <c r="Q55" s="2">
        <v>129.19999999999999</v>
      </c>
      <c r="R55" s="3">
        <v>2.13</v>
      </c>
      <c r="S55" s="5">
        <v>47182</v>
      </c>
      <c r="T55" s="5">
        <v>46270</v>
      </c>
      <c r="U55" t="s">
        <v>74</v>
      </c>
      <c r="V55" s="6" t="s">
        <v>34</v>
      </c>
      <c r="W55" s="6" t="s">
        <v>37</v>
      </c>
    </row>
    <row r="56" spans="1:24">
      <c r="A56" t="s">
        <v>246</v>
      </c>
      <c r="B56" t="s">
        <v>222</v>
      </c>
      <c r="C56" t="s">
        <v>223</v>
      </c>
      <c r="D56" t="s">
        <v>27</v>
      </c>
      <c r="E56" t="s">
        <v>90</v>
      </c>
      <c r="F56" t="s">
        <v>165</v>
      </c>
      <c r="G56" t="s">
        <v>106</v>
      </c>
      <c r="H56" t="s">
        <v>121</v>
      </c>
      <c r="I56" s="6" t="s">
        <v>65</v>
      </c>
      <c r="J56" s="2">
        <v>100</v>
      </c>
      <c r="K56" s="2">
        <v>100</v>
      </c>
      <c r="L56" s="6" t="s">
        <v>73</v>
      </c>
      <c r="M56" s="6" t="s">
        <v>33</v>
      </c>
      <c r="N56" s="7">
        <v>1</v>
      </c>
      <c r="O56" s="6" t="s">
        <v>34</v>
      </c>
      <c r="P56" s="4">
        <v>125</v>
      </c>
      <c r="Q56" s="2">
        <v>70</v>
      </c>
      <c r="R56" s="3">
        <v>1.35</v>
      </c>
      <c r="S56" s="5">
        <v>47671</v>
      </c>
      <c r="T56" s="5">
        <v>46287</v>
      </c>
      <c r="U56" t="s">
        <v>108</v>
      </c>
      <c r="V56" s="6" t="s">
        <v>34</v>
      </c>
      <c r="W56" s="6" t="s">
        <v>57</v>
      </c>
      <c r="X56" t="s">
        <v>176</v>
      </c>
    </row>
    <row r="57" spans="1:24">
      <c r="A57" t="s">
        <v>247</v>
      </c>
      <c r="B57" t="s">
        <v>248</v>
      </c>
      <c r="C57" t="s">
        <v>249</v>
      </c>
      <c r="D57" t="s">
        <v>50</v>
      </c>
      <c r="E57" t="s">
        <v>41</v>
      </c>
      <c r="F57" t="s">
        <v>105</v>
      </c>
      <c r="G57" t="s">
        <v>106</v>
      </c>
      <c r="H57" t="s">
        <v>112</v>
      </c>
      <c r="I57" s="6" t="s">
        <v>32</v>
      </c>
      <c r="J57" s="2">
        <v>225</v>
      </c>
      <c r="K57" s="2">
        <v>92</v>
      </c>
      <c r="L57" s="6" t="s">
        <v>92</v>
      </c>
      <c r="M57" s="6" t="s">
        <v>92</v>
      </c>
      <c r="N57" s="7">
        <v>1</v>
      </c>
      <c r="O57" s="6" t="s">
        <v>34</v>
      </c>
      <c r="P57" s="4">
        <v>65</v>
      </c>
      <c r="Q57" s="2">
        <v>71.3</v>
      </c>
      <c r="R57" s="3">
        <v>1.1299999999999999</v>
      </c>
      <c r="S57" s="5">
        <v>47739</v>
      </c>
      <c r="T57" s="5">
        <v>46021</v>
      </c>
      <c r="U57" t="s">
        <v>108</v>
      </c>
      <c r="V57" s="6" t="s">
        <v>34</v>
      </c>
      <c r="W57" s="6" t="s">
        <v>75</v>
      </c>
    </row>
    <row r="58" spans="1:24">
      <c r="A58" t="s">
        <v>250</v>
      </c>
      <c r="B58" t="s">
        <v>251</v>
      </c>
      <c r="C58" t="s">
        <v>252</v>
      </c>
      <c r="D58" t="s">
        <v>27</v>
      </c>
      <c r="E58" t="s">
        <v>154</v>
      </c>
      <c r="F58" t="s">
        <v>105</v>
      </c>
      <c r="G58" t="s">
        <v>106</v>
      </c>
      <c r="H58" t="s">
        <v>112</v>
      </c>
      <c r="I58" s="6" t="s">
        <v>32</v>
      </c>
      <c r="J58" s="2">
        <v>165</v>
      </c>
      <c r="K58" s="2">
        <v>28</v>
      </c>
      <c r="L58" s="6" t="s">
        <v>33</v>
      </c>
      <c r="M58" s="6" t="s">
        <v>33</v>
      </c>
      <c r="N58" s="7">
        <v>1</v>
      </c>
      <c r="O58" s="6" t="s">
        <v>34</v>
      </c>
      <c r="P58" s="4">
        <v>110</v>
      </c>
      <c r="Q58" s="2">
        <v>53.1</v>
      </c>
      <c r="R58" s="3">
        <v>1</v>
      </c>
      <c r="S58" s="5">
        <v>48300</v>
      </c>
      <c r="T58" s="5">
        <v>46078</v>
      </c>
      <c r="U58" t="s">
        <v>113</v>
      </c>
      <c r="V58" s="6" t="s">
        <v>34</v>
      </c>
      <c r="W58" s="6" t="s">
        <v>75</v>
      </c>
    </row>
    <row r="59" spans="1:24">
      <c r="A59" t="s">
        <v>253</v>
      </c>
      <c r="B59" t="s">
        <v>254</v>
      </c>
      <c r="C59" t="s">
        <v>255</v>
      </c>
      <c r="D59" t="s">
        <v>27</v>
      </c>
      <c r="E59" t="s">
        <v>154</v>
      </c>
      <c r="F59" t="s">
        <v>52</v>
      </c>
      <c r="G59" t="s">
        <v>53</v>
      </c>
      <c r="H59" t="s">
        <v>112</v>
      </c>
      <c r="I59" s="6" t="s">
        <v>32</v>
      </c>
      <c r="J59" s="2">
        <v>300</v>
      </c>
      <c r="K59" s="2">
        <v>84</v>
      </c>
      <c r="L59" s="6" t="s">
        <v>92</v>
      </c>
      <c r="M59" s="6" t="s">
        <v>92</v>
      </c>
      <c r="N59" s="7">
        <v>1</v>
      </c>
      <c r="O59" s="6" t="s">
        <v>34</v>
      </c>
      <c r="P59" s="4">
        <v>85</v>
      </c>
      <c r="Q59" s="2">
        <v>86.4</v>
      </c>
      <c r="R59" s="3">
        <v>1.66</v>
      </c>
      <c r="S59" s="5">
        <v>47057</v>
      </c>
      <c r="T59" s="5">
        <v>46229</v>
      </c>
      <c r="U59" t="s">
        <v>56</v>
      </c>
      <c r="V59" s="6" t="s">
        <v>34</v>
      </c>
      <c r="W59" s="6" t="s">
        <v>57</v>
      </c>
    </row>
    <row r="60" spans="1:24">
      <c r="A60" t="s">
        <v>256</v>
      </c>
      <c r="B60" t="s">
        <v>257</v>
      </c>
      <c r="C60" t="s">
        <v>258</v>
      </c>
      <c r="D60" t="s">
        <v>27</v>
      </c>
      <c r="E60" t="s">
        <v>120</v>
      </c>
      <c r="F60" t="s">
        <v>98</v>
      </c>
      <c r="G60" t="s">
        <v>99</v>
      </c>
      <c r="H60" t="s">
        <v>112</v>
      </c>
      <c r="I60" s="6" t="s">
        <v>32</v>
      </c>
      <c r="J60" s="2">
        <v>200</v>
      </c>
      <c r="K60" s="2">
        <v>24</v>
      </c>
      <c r="L60" s="6" t="s">
        <v>183</v>
      </c>
      <c r="M60" s="6" t="s">
        <v>73</v>
      </c>
      <c r="N60" s="7">
        <v>2</v>
      </c>
      <c r="O60" s="6" t="s">
        <v>36</v>
      </c>
      <c r="P60" s="4">
        <v>170</v>
      </c>
      <c r="Q60" s="2">
        <v>100.8</v>
      </c>
      <c r="R60" s="3">
        <v>1.66</v>
      </c>
      <c r="S60" s="5">
        <v>46485</v>
      </c>
      <c r="T60" s="5">
        <v>45939</v>
      </c>
      <c r="U60" t="s">
        <v>100</v>
      </c>
      <c r="V60" s="6" t="s">
        <v>34</v>
      </c>
      <c r="W60" s="6" t="s">
        <v>75</v>
      </c>
      <c r="X60" t="s">
        <v>259</v>
      </c>
    </row>
    <row r="61" spans="1:24">
      <c r="A61" t="s">
        <v>260</v>
      </c>
      <c r="B61" t="s">
        <v>261</v>
      </c>
      <c r="C61" t="s">
        <v>262</v>
      </c>
      <c r="D61" t="s">
        <v>50</v>
      </c>
      <c r="E61" t="s">
        <v>97</v>
      </c>
      <c r="F61" t="s">
        <v>84</v>
      </c>
      <c r="G61" t="s">
        <v>85</v>
      </c>
      <c r="H61" t="s">
        <v>112</v>
      </c>
      <c r="I61" s="6" t="s">
        <v>32</v>
      </c>
      <c r="J61" s="2">
        <v>215</v>
      </c>
      <c r="K61" s="2">
        <v>23</v>
      </c>
      <c r="L61" s="6" t="s">
        <v>33</v>
      </c>
      <c r="M61" s="6" t="s">
        <v>33</v>
      </c>
      <c r="N61" s="7">
        <v>1</v>
      </c>
      <c r="O61" s="6" t="s">
        <v>34</v>
      </c>
      <c r="P61" s="4">
        <v>85</v>
      </c>
      <c r="Q61" s="2">
        <v>65.5</v>
      </c>
      <c r="R61" s="3">
        <v>0.98</v>
      </c>
      <c r="S61" s="5">
        <v>47271</v>
      </c>
      <c r="T61" s="5">
        <v>45990</v>
      </c>
      <c r="U61" t="s">
        <v>86</v>
      </c>
      <c r="V61" s="6" t="s">
        <v>34</v>
      </c>
      <c r="W61" s="6" t="s">
        <v>75</v>
      </c>
    </row>
    <row r="62" spans="1:24">
      <c r="A62" t="s">
        <v>263</v>
      </c>
      <c r="B62" t="s">
        <v>264</v>
      </c>
      <c r="C62" t="s">
        <v>265</v>
      </c>
      <c r="D62" t="s">
        <v>27</v>
      </c>
      <c r="E62" t="s">
        <v>51</v>
      </c>
      <c r="F62" t="s">
        <v>105</v>
      </c>
      <c r="G62" t="s">
        <v>106</v>
      </c>
      <c r="H62" t="s">
        <v>44</v>
      </c>
      <c r="I62" s="6" t="s">
        <v>32</v>
      </c>
      <c r="J62" s="2">
        <v>185</v>
      </c>
      <c r="K62" s="2">
        <v>176</v>
      </c>
      <c r="L62" s="6" t="s">
        <v>33</v>
      </c>
      <c r="M62" s="6" t="s">
        <v>33</v>
      </c>
      <c r="N62" s="7">
        <v>1</v>
      </c>
      <c r="O62" s="6" t="s">
        <v>34</v>
      </c>
      <c r="P62" s="4">
        <v>100</v>
      </c>
      <c r="Q62" s="2">
        <v>99.3</v>
      </c>
      <c r="R62" s="3">
        <v>1.98</v>
      </c>
      <c r="S62" s="5">
        <v>47228</v>
      </c>
      <c r="T62" s="5">
        <v>46123</v>
      </c>
      <c r="U62" t="s">
        <v>125</v>
      </c>
      <c r="V62" s="6" t="s">
        <v>34</v>
      </c>
      <c r="W62" s="6" t="s">
        <v>57</v>
      </c>
    </row>
    <row r="63" spans="1:24">
      <c r="A63" t="s">
        <v>266</v>
      </c>
      <c r="B63" t="s">
        <v>267</v>
      </c>
      <c r="C63" t="s">
        <v>268</v>
      </c>
      <c r="D63" t="s">
        <v>50</v>
      </c>
      <c r="E63" t="s">
        <v>41</v>
      </c>
      <c r="F63" t="s">
        <v>42</v>
      </c>
      <c r="G63" t="s">
        <v>43</v>
      </c>
      <c r="H63" t="s">
        <v>112</v>
      </c>
      <c r="I63" s="6" t="s">
        <v>32</v>
      </c>
      <c r="J63" s="2">
        <v>110</v>
      </c>
      <c r="K63" s="2">
        <v>28</v>
      </c>
      <c r="L63" s="6" t="s">
        <v>33</v>
      </c>
      <c r="M63" s="6" t="s">
        <v>33</v>
      </c>
      <c r="N63" s="7">
        <v>1</v>
      </c>
      <c r="O63" s="6" t="s">
        <v>34</v>
      </c>
      <c r="P63" s="4">
        <v>90</v>
      </c>
      <c r="Q63" s="2">
        <v>38</v>
      </c>
      <c r="R63" s="3">
        <v>0.62</v>
      </c>
      <c r="S63" s="5">
        <v>47988</v>
      </c>
      <c r="T63" s="5">
        <v>46149</v>
      </c>
      <c r="U63" t="s">
        <v>46</v>
      </c>
      <c r="V63" s="6" t="s">
        <v>34</v>
      </c>
      <c r="W63" s="6" t="s">
        <v>75</v>
      </c>
    </row>
    <row r="64" spans="1:24">
      <c r="A64" t="s">
        <v>269</v>
      </c>
      <c r="B64" t="s">
        <v>270</v>
      </c>
      <c r="C64" t="s">
        <v>271</v>
      </c>
      <c r="D64" t="s">
        <v>27</v>
      </c>
      <c r="E64" t="s">
        <v>71</v>
      </c>
      <c r="F64" t="s">
        <v>129</v>
      </c>
      <c r="G64" t="s">
        <v>64</v>
      </c>
      <c r="H64" t="s">
        <v>91</v>
      </c>
      <c r="I64" s="6" t="s">
        <v>65</v>
      </c>
      <c r="J64" s="2">
        <v>170</v>
      </c>
      <c r="K64" s="2">
        <v>90</v>
      </c>
      <c r="L64" s="6" t="s">
        <v>55</v>
      </c>
      <c r="M64" s="6" t="s">
        <v>55</v>
      </c>
      <c r="N64" s="7">
        <v>1</v>
      </c>
      <c r="O64" s="6" t="s">
        <v>34</v>
      </c>
      <c r="P64" s="4">
        <v>55</v>
      </c>
      <c r="Q64" s="2">
        <v>37.1</v>
      </c>
      <c r="R64" s="3">
        <v>0.82</v>
      </c>
      <c r="S64" s="5">
        <v>47677</v>
      </c>
      <c r="T64" s="5">
        <v>46046</v>
      </c>
      <c r="U64" t="s">
        <v>66</v>
      </c>
      <c r="V64" s="6" t="s">
        <v>34</v>
      </c>
      <c r="W64" s="6" t="s">
        <v>57</v>
      </c>
    </row>
    <row r="65" spans="1:24">
      <c r="A65" t="s">
        <v>272</v>
      </c>
      <c r="B65" t="s">
        <v>273</v>
      </c>
      <c r="C65" t="s">
        <v>274</v>
      </c>
      <c r="D65" t="s">
        <v>27</v>
      </c>
      <c r="E65" t="s">
        <v>90</v>
      </c>
      <c r="F65" t="s">
        <v>29</v>
      </c>
      <c r="G65" t="s">
        <v>30</v>
      </c>
      <c r="H65" t="s">
        <v>91</v>
      </c>
      <c r="I65" s="6" t="s">
        <v>32</v>
      </c>
      <c r="J65" s="2">
        <v>260</v>
      </c>
      <c r="K65" s="2">
        <v>152</v>
      </c>
      <c r="L65" s="6" t="s">
        <v>73</v>
      </c>
      <c r="M65" s="6" t="s">
        <v>33</v>
      </c>
      <c r="N65" s="7">
        <v>1</v>
      </c>
      <c r="O65" s="6" t="s">
        <v>34</v>
      </c>
      <c r="P65" s="4">
        <v>100</v>
      </c>
      <c r="Q65" s="2">
        <v>121.5</v>
      </c>
      <c r="R65" s="3">
        <v>2.16</v>
      </c>
      <c r="S65" s="5">
        <v>47063</v>
      </c>
      <c r="T65" s="5">
        <v>45961</v>
      </c>
      <c r="U65" t="s">
        <v>35</v>
      </c>
      <c r="V65" s="6" t="s">
        <v>34</v>
      </c>
      <c r="W65" s="6" t="s">
        <v>57</v>
      </c>
      <c r="X65" t="s">
        <v>176</v>
      </c>
    </row>
    <row r="66" spans="1:24">
      <c r="A66" t="s">
        <v>275</v>
      </c>
      <c r="B66" t="s">
        <v>276</v>
      </c>
      <c r="C66" t="s">
        <v>277</v>
      </c>
      <c r="D66" t="s">
        <v>27</v>
      </c>
      <c r="E66" t="s">
        <v>154</v>
      </c>
      <c r="F66" t="s">
        <v>105</v>
      </c>
      <c r="G66" t="s">
        <v>106</v>
      </c>
      <c r="H66" t="s">
        <v>44</v>
      </c>
      <c r="I66" s="6" t="s">
        <v>107</v>
      </c>
      <c r="J66" s="2">
        <v>170</v>
      </c>
      <c r="K66" s="2">
        <v>153</v>
      </c>
      <c r="L66" s="6" t="s">
        <v>73</v>
      </c>
      <c r="M66" s="6" t="s">
        <v>73</v>
      </c>
      <c r="N66" s="7">
        <v>1</v>
      </c>
      <c r="O66" s="6" t="s">
        <v>34</v>
      </c>
      <c r="P66" s="4">
        <v>140</v>
      </c>
      <c r="Q66" s="2">
        <v>113</v>
      </c>
      <c r="R66" s="3">
        <v>2.4</v>
      </c>
      <c r="S66" s="5">
        <v>47236</v>
      </c>
      <c r="T66" s="5">
        <v>46111</v>
      </c>
      <c r="U66" t="s">
        <v>113</v>
      </c>
      <c r="V66" s="6" t="s">
        <v>36</v>
      </c>
      <c r="W66" s="6" t="s">
        <v>75</v>
      </c>
      <c r="X66" t="s">
        <v>278</v>
      </c>
    </row>
    <row r="67" spans="1:24">
      <c r="A67" t="s">
        <v>279</v>
      </c>
      <c r="B67" t="s">
        <v>280</v>
      </c>
      <c r="C67" t="s">
        <v>281</v>
      </c>
      <c r="D67" t="s">
        <v>27</v>
      </c>
      <c r="E67" t="s">
        <v>97</v>
      </c>
      <c r="F67" t="s">
        <v>80</v>
      </c>
      <c r="G67" t="s">
        <v>30</v>
      </c>
      <c r="H67" t="s">
        <v>112</v>
      </c>
      <c r="I67" s="6" t="s">
        <v>32</v>
      </c>
      <c r="J67" s="2">
        <v>145</v>
      </c>
      <c r="K67" s="2">
        <v>55</v>
      </c>
      <c r="L67" s="6" t="s">
        <v>55</v>
      </c>
      <c r="M67" s="6" t="s">
        <v>55</v>
      </c>
      <c r="N67" s="7">
        <v>1</v>
      </c>
      <c r="O67" s="6" t="s">
        <v>34</v>
      </c>
      <c r="P67" s="4">
        <v>60</v>
      </c>
      <c r="Q67" s="2">
        <v>35</v>
      </c>
      <c r="R67" s="3">
        <v>0.66</v>
      </c>
      <c r="S67" s="5">
        <v>46982</v>
      </c>
      <c r="T67" s="5">
        <v>45943</v>
      </c>
      <c r="U67" t="s">
        <v>74</v>
      </c>
      <c r="V67" s="6" t="s">
        <v>34</v>
      </c>
      <c r="W67" s="6" t="s">
        <v>37</v>
      </c>
    </row>
    <row r="68" spans="1:24">
      <c r="A68" t="s">
        <v>282</v>
      </c>
      <c r="B68" t="s">
        <v>283</v>
      </c>
      <c r="C68" t="s">
        <v>284</v>
      </c>
      <c r="D68" t="s">
        <v>50</v>
      </c>
      <c r="E68" t="s">
        <v>161</v>
      </c>
      <c r="F68" t="s">
        <v>105</v>
      </c>
      <c r="G68" t="s">
        <v>106</v>
      </c>
      <c r="H68" t="s">
        <v>44</v>
      </c>
      <c r="I68" s="6" t="s">
        <v>32</v>
      </c>
      <c r="J68" s="2">
        <v>210</v>
      </c>
      <c r="K68" s="2">
        <v>207</v>
      </c>
      <c r="L68" s="6" t="s">
        <v>92</v>
      </c>
      <c r="M68" s="6" t="s">
        <v>92</v>
      </c>
      <c r="N68" s="7">
        <v>1</v>
      </c>
      <c r="O68" s="6" t="s">
        <v>34</v>
      </c>
      <c r="P68" s="4">
        <v>70</v>
      </c>
      <c r="Q68" s="2">
        <v>93.8</v>
      </c>
      <c r="R68" s="3">
        <v>1.67</v>
      </c>
      <c r="S68" s="5">
        <v>47920</v>
      </c>
      <c r="T68" s="5">
        <v>46239</v>
      </c>
      <c r="U68" t="s">
        <v>108</v>
      </c>
      <c r="V68" s="6" t="s">
        <v>36</v>
      </c>
      <c r="W68" s="6" t="s">
        <v>37</v>
      </c>
      <c r="X68" t="s">
        <v>278</v>
      </c>
    </row>
    <row r="69" spans="1:24">
      <c r="A69" t="s">
        <v>285</v>
      </c>
      <c r="B69" t="s">
        <v>286</v>
      </c>
      <c r="C69" t="s">
        <v>287</v>
      </c>
      <c r="D69" t="s">
        <v>27</v>
      </c>
      <c r="E69" t="s">
        <v>120</v>
      </c>
      <c r="F69" t="s">
        <v>42</v>
      </c>
      <c r="G69" t="s">
        <v>43</v>
      </c>
      <c r="H69" t="s">
        <v>44</v>
      </c>
      <c r="I69" s="6" t="s">
        <v>32</v>
      </c>
      <c r="J69" s="2">
        <v>45</v>
      </c>
      <c r="K69" s="2">
        <v>45</v>
      </c>
      <c r="L69" s="6" t="s">
        <v>288</v>
      </c>
      <c r="M69" s="6" t="s">
        <v>289</v>
      </c>
      <c r="N69" s="7">
        <v>3</v>
      </c>
      <c r="O69" s="6" t="s">
        <v>36</v>
      </c>
      <c r="P69" s="4">
        <v>440</v>
      </c>
      <c r="Q69" s="2">
        <v>112.5</v>
      </c>
      <c r="R69" s="3">
        <v>0</v>
      </c>
      <c r="S69" s="5">
        <v>47867</v>
      </c>
      <c r="T69" s="5">
        <v>46101</v>
      </c>
      <c r="U69" t="s">
        <v>46</v>
      </c>
      <c r="V69" s="6" t="s">
        <v>34</v>
      </c>
      <c r="W69" s="6" t="s">
        <v>57</v>
      </c>
      <c r="X69" t="s">
        <v>290</v>
      </c>
    </row>
    <row r="70" spans="1:24">
      <c r="A70" t="s">
        <v>291</v>
      </c>
      <c r="B70" t="s">
        <v>292</v>
      </c>
      <c r="C70" t="s">
        <v>293</v>
      </c>
      <c r="D70" t="s">
        <v>27</v>
      </c>
      <c r="E70" t="s">
        <v>97</v>
      </c>
      <c r="F70" t="s">
        <v>105</v>
      </c>
      <c r="G70" t="s">
        <v>106</v>
      </c>
      <c r="H70" t="s">
        <v>44</v>
      </c>
      <c r="I70" s="6" t="s">
        <v>32</v>
      </c>
      <c r="J70" s="2">
        <v>155</v>
      </c>
      <c r="K70" s="2">
        <v>151</v>
      </c>
      <c r="L70" s="6" t="s">
        <v>55</v>
      </c>
      <c r="M70" s="6" t="s">
        <v>55</v>
      </c>
      <c r="N70" s="7">
        <v>1</v>
      </c>
      <c r="O70" s="6" t="s">
        <v>34</v>
      </c>
      <c r="P70" s="4">
        <v>75</v>
      </c>
      <c r="Q70" s="2">
        <v>53.5</v>
      </c>
      <c r="R70" s="3">
        <v>1.3</v>
      </c>
      <c r="S70" s="5">
        <v>47881</v>
      </c>
      <c r="T70" s="5">
        <v>46239</v>
      </c>
      <c r="U70" t="s">
        <v>108</v>
      </c>
      <c r="V70" s="6" t="s">
        <v>34</v>
      </c>
      <c r="W70" s="6" t="s">
        <v>37</v>
      </c>
    </row>
    <row r="71" spans="1:24">
      <c r="A71" t="s">
        <v>294</v>
      </c>
      <c r="B71" t="s">
        <v>295</v>
      </c>
      <c r="C71" t="s">
        <v>296</v>
      </c>
      <c r="D71" t="s">
        <v>50</v>
      </c>
      <c r="E71" t="s">
        <v>28</v>
      </c>
      <c r="F71" t="s">
        <v>52</v>
      </c>
      <c r="G71" t="s">
        <v>53</v>
      </c>
      <c r="H71" t="s">
        <v>44</v>
      </c>
      <c r="I71" s="6" t="s">
        <v>32</v>
      </c>
      <c r="J71" s="2">
        <v>260</v>
      </c>
      <c r="K71" s="2">
        <v>238</v>
      </c>
      <c r="L71" s="6" t="s">
        <v>33</v>
      </c>
      <c r="M71" s="6" t="s">
        <v>33</v>
      </c>
      <c r="N71" s="7">
        <v>1</v>
      </c>
      <c r="O71" s="6" t="s">
        <v>34</v>
      </c>
      <c r="P71" s="4">
        <v>95</v>
      </c>
      <c r="Q71" s="2">
        <v>137</v>
      </c>
      <c r="R71" s="3">
        <v>2.59</v>
      </c>
      <c r="S71" s="5">
        <v>46532</v>
      </c>
      <c r="T71" s="5">
        <v>46167</v>
      </c>
      <c r="U71" t="s">
        <v>56</v>
      </c>
      <c r="V71" s="6" t="s">
        <v>34</v>
      </c>
      <c r="W71" s="6" t="s">
        <v>37</v>
      </c>
    </row>
    <row r="72" spans="1:24">
      <c r="A72" t="s">
        <v>297</v>
      </c>
      <c r="B72" t="s">
        <v>298</v>
      </c>
      <c r="C72" t="s">
        <v>299</v>
      </c>
      <c r="D72" t="s">
        <v>27</v>
      </c>
      <c r="E72" t="s">
        <v>71</v>
      </c>
      <c r="F72" t="s">
        <v>63</v>
      </c>
      <c r="G72" t="s">
        <v>64</v>
      </c>
      <c r="H72" t="s">
        <v>44</v>
      </c>
      <c r="I72" s="6" t="s">
        <v>65</v>
      </c>
      <c r="J72" s="2">
        <v>55</v>
      </c>
      <c r="K72" s="2">
        <v>53</v>
      </c>
      <c r="L72" s="6" t="s">
        <v>33</v>
      </c>
      <c r="M72" s="6" t="s">
        <v>33</v>
      </c>
      <c r="N72" s="7">
        <v>1</v>
      </c>
      <c r="O72" s="6" t="s">
        <v>34</v>
      </c>
      <c r="P72" s="4">
        <v>120</v>
      </c>
      <c r="Q72" s="2">
        <v>29.7</v>
      </c>
      <c r="R72" s="3">
        <v>0.7</v>
      </c>
      <c r="S72" s="5">
        <v>46696</v>
      </c>
      <c r="T72" s="5">
        <v>45953</v>
      </c>
      <c r="U72" t="s">
        <v>66</v>
      </c>
      <c r="V72" s="6" t="s">
        <v>34</v>
      </c>
      <c r="W72" s="6" t="s">
        <v>75</v>
      </c>
      <c r="X72" t="s">
        <v>76</v>
      </c>
    </row>
    <row r="73" spans="1:24">
      <c r="A73" t="s">
        <v>300</v>
      </c>
      <c r="B73" t="s">
        <v>204</v>
      </c>
      <c r="C73" t="s">
        <v>205</v>
      </c>
      <c r="D73" t="s">
        <v>50</v>
      </c>
      <c r="E73" t="s">
        <v>97</v>
      </c>
      <c r="F73" t="s">
        <v>105</v>
      </c>
      <c r="G73" t="s">
        <v>106</v>
      </c>
      <c r="H73" t="s">
        <v>91</v>
      </c>
      <c r="I73" s="6" t="s">
        <v>32</v>
      </c>
      <c r="J73" s="2">
        <v>175</v>
      </c>
      <c r="K73" s="2">
        <v>131</v>
      </c>
      <c r="L73" s="6" t="s">
        <v>55</v>
      </c>
      <c r="M73" s="6" t="s">
        <v>55</v>
      </c>
      <c r="N73" s="7">
        <v>1</v>
      </c>
      <c r="O73" s="6" t="s">
        <v>34</v>
      </c>
      <c r="P73" s="4">
        <v>40</v>
      </c>
      <c r="Q73" s="2">
        <v>48.9</v>
      </c>
      <c r="R73" s="3">
        <v>0.76</v>
      </c>
      <c r="S73" s="5">
        <v>47319</v>
      </c>
      <c r="T73" s="5">
        <v>45800</v>
      </c>
      <c r="U73" t="s">
        <v>113</v>
      </c>
      <c r="V73" s="6" t="s">
        <v>34</v>
      </c>
      <c r="W73" s="6" t="s">
        <v>75</v>
      </c>
      <c r="X73" t="s">
        <v>67</v>
      </c>
    </row>
    <row r="74" spans="1:24">
      <c r="A74" t="s">
        <v>301</v>
      </c>
      <c r="B74" t="s">
        <v>298</v>
      </c>
      <c r="C74" t="s">
        <v>299</v>
      </c>
      <c r="D74" t="s">
        <v>27</v>
      </c>
      <c r="E74" t="s">
        <v>71</v>
      </c>
      <c r="F74" t="s">
        <v>63</v>
      </c>
      <c r="G74" t="s">
        <v>64</v>
      </c>
      <c r="H74" t="s">
        <v>112</v>
      </c>
      <c r="I74" s="6" t="s">
        <v>65</v>
      </c>
      <c r="J74" s="2">
        <v>240</v>
      </c>
      <c r="K74" s="2">
        <v>86</v>
      </c>
      <c r="L74" s="6" t="s">
        <v>33</v>
      </c>
      <c r="M74" s="6" t="s">
        <v>33</v>
      </c>
      <c r="N74" s="7">
        <v>1</v>
      </c>
      <c r="O74" s="6" t="s">
        <v>34</v>
      </c>
      <c r="P74" s="4">
        <v>105</v>
      </c>
      <c r="Q74" s="2">
        <v>89.7</v>
      </c>
      <c r="R74" s="3">
        <v>1.71</v>
      </c>
      <c r="S74" s="5">
        <v>46765</v>
      </c>
      <c r="T74" s="5">
        <v>45953</v>
      </c>
      <c r="U74" t="s">
        <v>66</v>
      </c>
      <c r="V74" s="6" t="s">
        <v>34</v>
      </c>
      <c r="W74" s="6" t="s">
        <v>75</v>
      </c>
    </row>
    <row r="75" spans="1:24">
      <c r="A75" t="s">
        <v>302</v>
      </c>
      <c r="B75" t="s">
        <v>303</v>
      </c>
      <c r="C75" t="s">
        <v>304</v>
      </c>
      <c r="D75" t="s">
        <v>50</v>
      </c>
      <c r="E75" t="s">
        <v>51</v>
      </c>
      <c r="F75" t="s">
        <v>188</v>
      </c>
      <c r="G75" t="s">
        <v>30</v>
      </c>
      <c r="H75" t="s">
        <v>31</v>
      </c>
      <c r="I75" s="6" t="s">
        <v>32</v>
      </c>
      <c r="J75" s="2">
        <v>150</v>
      </c>
      <c r="K75" s="2">
        <v>132</v>
      </c>
      <c r="L75" s="6" t="s">
        <v>33</v>
      </c>
      <c r="M75" s="6" t="s">
        <v>33</v>
      </c>
      <c r="N75" s="7">
        <v>1</v>
      </c>
      <c r="O75" s="6" t="s">
        <v>34</v>
      </c>
      <c r="P75" s="4">
        <v>110</v>
      </c>
      <c r="Q75" s="2">
        <v>91.7</v>
      </c>
      <c r="R75" s="3">
        <v>1.67</v>
      </c>
      <c r="S75" s="5">
        <v>48397</v>
      </c>
      <c r="T75" s="5">
        <v>45978</v>
      </c>
      <c r="U75" t="s">
        <v>35</v>
      </c>
      <c r="V75" s="6" t="s">
        <v>34</v>
      </c>
      <c r="W75" s="6" t="s">
        <v>37</v>
      </c>
    </row>
    <row r="76" spans="1:24">
      <c r="A76" t="s">
        <v>305</v>
      </c>
      <c r="B76" t="s">
        <v>306</v>
      </c>
      <c r="C76" t="s">
        <v>307</v>
      </c>
      <c r="D76" t="s">
        <v>50</v>
      </c>
      <c r="E76" t="s">
        <v>154</v>
      </c>
      <c r="F76" t="s">
        <v>42</v>
      </c>
      <c r="G76" t="s">
        <v>43</v>
      </c>
      <c r="H76" t="s">
        <v>44</v>
      </c>
      <c r="I76" s="6" t="s">
        <v>32</v>
      </c>
      <c r="J76" s="2">
        <v>180</v>
      </c>
      <c r="K76" s="2">
        <v>179</v>
      </c>
      <c r="L76" s="6" t="s">
        <v>54</v>
      </c>
      <c r="M76" s="6" t="s">
        <v>54</v>
      </c>
      <c r="N76" s="7">
        <v>1</v>
      </c>
      <c r="O76" s="6" t="s">
        <v>34</v>
      </c>
      <c r="P76" s="4">
        <v>45</v>
      </c>
      <c r="Q76" s="2">
        <v>53.9</v>
      </c>
      <c r="R76" s="3">
        <v>0.99</v>
      </c>
      <c r="S76" s="5">
        <v>46578</v>
      </c>
      <c r="T76" s="5">
        <v>46075</v>
      </c>
      <c r="U76" t="s">
        <v>35</v>
      </c>
      <c r="V76" s="6" t="s">
        <v>34</v>
      </c>
      <c r="W76" s="6" t="s">
        <v>75</v>
      </c>
    </row>
    <row r="77" spans="1:24">
      <c r="A77" t="s">
        <v>308</v>
      </c>
      <c r="B77" t="s">
        <v>178</v>
      </c>
      <c r="C77" t="s">
        <v>179</v>
      </c>
      <c r="D77" t="s">
        <v>27</v>
      </c>
      <c r="E77" t="s">
        <v>28</v>
      </c>
      <c r="F77" t="s">
        <v>29</v>
      </c>
      <c r="G77" t="s">
        <v>30</v>
      </c>
      <c r="H77" t="s">
        <v>31</v>
      </c>
      <c r="I77" s="6" t="s">
        <v>32</v>
      </c>
      <c r="J77" s="2">
        <v>130</v>
      </c>
      <c r="K77" s="2">
        <v>118</v>
      </c>
      <c r="L77" s="6" t="s">
        <v>45</v>
      </c>
      <c r="M77" s="6" t="s">
        <v>45</v>
      </c>
      <c r="N77" s="7">
        <v>1</v>
      </c>
      <c r="O77" s="6" t="s">
        <v>34</v>
      </c>
      <c r="P77" s="4">
        <v>90</v>
      </c>
      <c r="Q77" s="2">
        <v>43.4</v>
      </c>
      <c r="R77" s="3">
        <v>1.23</v>
      </c>
      <c r="S77" s="5">
        <v>49185</v>
      </c>
      <c r="T77" s="5">
        <v>46253</v>
      </c>
      <c r="U77" t="s">
        <v>74</v>
      </c>
      <c r="V77" s="6" t="s">
        <v>34</v>
      </c>
      <c r="W77" s="6" t="s">
        <v>37</v>
      </c>
    </row>
    <row r="78" spans="1:24">
      <c r="A78" t="s">
        <v>309</v>
      </c>
      <c r="B78" t="s">
        <v>310</v>
      </c>
      <c r="C78" t="s">
        <v>311</v>
      </c>
      <c r="D78" t="s">
        <v>27</v>
      </c>
      <c r="E78" t="s">
        <v>90</v>
      </c>
      <c r="F78" t="s">
        <v>105</v>
      </c>
      <c r="G78" t="s">
        <v>106</v>
      </c>
      <c r="H78" t="s">
        <v>112</v>
      </c>
      <c r="I78" s="6" t="s">
        <v>107</v>
      </c>
      <c r="J78" s="2">
        <v>205</v>
      </c>
      <c r="K78" s="2">
        <v>24</v>
      </c>
      <c r="L78" s="6" t="s">
        <v>183</v>
      </c>
      <c r="M78" s="6" t="s">
        <v>183</v>
      </c>
      <c r="N78" s="7">
        <v>1</v>
      </c>
      <c r="O78" s="6" t="s">
        <v>34</v>
      </c>
      <c r="P78" s="4">
        <v>175</v>
      </c>
      <c r="Q78" s="2">
        <v>103</v>
      </c>
      <c r="R78" s="3">
        <v>1.73</v>
      </c>
      <c r="S78" s="5">
        <v>48170</v>
      </c>
      <c r="T78" s="5">
        <v>46126</v>
      </c>
      <c r="U78" t="s">
        <v>125</v>
      </c>
      <c r="V78" s="6" t="s">
        <v>34</v>
      </c>
      <c r="W78" s="6" t="s">
        <v>75</v>
      </c>
    </row>
    <row r="79" spans="1:24">
      <c r="A79" t="s">
        <v>312</v>
      </c>
      <c r="B79" t="s">
        <v>313</v>
      </c>
      <c r="C79" t="s">
        <v>314</v>
      </c>
      <c r="D79" t="s">
        <v>27</v>
      </c>
      <c r="E79" t="s">
        <v>97</v>
      </c>
      <c r="F79" t="s">
        <v>84</v>
      </c>
      <c r="G79" t="s">
        <v>85</v>
      </c>
      <c r="H79" t="s">
        <v>91</v>
      </c>
      <c r="I79" s="6" t="s">
        <v>32</v>
      </c>
      <c r="J79" s="2">
        <v>95</v>
      </c>
      <c r="K79" s="2">
        <v>57</v>
      </c>
      <c r="L79" s="6" t="s">
        <v>55</v>
      </c>
      <c r="M79" s="6" t="s">
        <v>55</v>
      </c>
      <c r="N79" s="7">
        <v>1</v>
      </c>
      <c r="O79" s="6" t="s">
        <v>34</v>
      </c>
      <c r="P79" s="4">
        <v>40</v>
      </c>
      <c r="Q79" s="2">
        <v>22.6</v>
      </c>
      <c r="R79" s="3">
        <v>0.38</v>
      </c>
      <c r="S79" s="5">
        <v>48148</v>
      </c>
      <c r="T79" s="5">
        <v>46149</v>
      </c>
      <c r="U79" t="s">
        <v>86</v>
      </c>
      <c r="V79" s="6" t="s">
        <v>34</v>
      </c>
      <c r="W79" s="6" t="s">
        <v>37</v>
      </c>
      <c r="X79" t="s">
        <v>76</v>
      </c>
    </row>
    <row r="80" spans="1:24">
      <c r="A80" t="s">
        <v>315</v>
      </c>
      <c r="B80" t="s">
        <v>238</v>
      </c>
      <c r="C80" t="s">
        <v>239</v>
      </c>
      <c r="D80" t="s">
        <v>50</v>
      </c>
      <c r="E80" t="s">
        <v>51</v>
      </c>
      <c r="F80" t="s">
        <v>52</v>
      </c>
      <c r="G80" t="s">
        <v>53</v>
      </c>
      <c r="H80" t="s">
        <v>44</v>
      </c>
      <c r="I80" s="6" t="s">
        <v>32</v>
      </c>
      <c r="J80" s="2">
        <v>135</v>
      </c>
      <c r="K80" s="2">
        <v>127</v>
      </c>
      <c r="L80" s="6" t="s">
        <v>92</v>
      </c>
      <c r="M80" s="6" t="s">
        <v>92</v>
      </c>
      <c r="N80" s="7">
        <v>1</v>
      </c>
      <c r="O80" s="6" t="s">
        <v>34</v>
      </c>
      <c r="P80" s="4">
        <v>70</v>
      </c>
      <c r="Q80" s="2">
        <v>59</v>
      </c>
      <c r="R80" s="3">
        <v>1.04</v>
      </c>
      <c r="S80" s="5">
        <v>48329</v>
      </c>
      <c r="T80" s="5">
        <v>46225</v>
      </c>
      <c r="U80" t="s">
        <v>56</v>
      </c>
      <c r="V80" s="6" t="s">
        <v>34</v>
      </c>
      <c r="W80" s="6" t="s">
        <v>75</v>
      </c>
    </row>
    <row r="81" spans="1:24">
      <c r="A81" t="s">
        <v>316</v>
      </c>
      <c r="B81" t="s">
        <v>317</v>
      </c>
      <c r="C81" t="s">
        <v>318</v>
      </c>
      <c r="D81" t="s">
        <v>50</v>
      </c>
      <c r="E81" t="s">
        <v>97</v>
      </c>
      <c r="F81" t="s">
        <v>84</v>
      </c>
      <c r="G81" t="s">
        <v>85</v>
      </c>
      <c r="H81" t="s">
        <v>112</v>
      </c>
      <c r="I81" s="6" t="s">
        <v>32</v>
      </c>
      <c r="J81" s="2">
        <v>415</v>
      </c>
      <c r="K81" s="2">
        <v>154</v>
      </c>
      <c r="L81" s="6" t="s">
        <v>92</v>
      </c>
      <c r="M81" s="6" t="s">
        <v>92</v>
      </c>
      <c r="N81" s="7">
        <v>1</v>
      </c>
      <c r="O81" s="6" t="s">
        <v>34</v>
      </c>
      <c r="P81" s="4">
        <v>55</v>
      </c>
      <c r="Q81" s="2">
        <v>128</v>
      </c>
      <c r="R81" s="3">
        <v>1.76</v>
      </c>
      <c r="S81" s="5">
        <v>47497</v>
      </c>
      <c r="T81" s="5">
        <v>46093</v>
      </c>
      <c r="U81" t="s">
        <v>86</v>
      </c>
      <c r="V81" s="6" t="s">
        <v>34</v>
      </c>
      <c r="W81" s="6" t="s">
        <v>57</v>
      </c>
    </row>
    <row r="82" spans="1:24">
      <c r="A82" t="s">
        <v>319</v>
      </c>
      <c r="B82" t="s">
        <v>25</v>
      </c>
      <c r="C82" t="s">
        <v>26</v>
      </c>
      <c r="D82" t="s">
        <v>27</v>
      </c>
      <c r="E82" t="s">
        <v>28</v>
      </c>
      <c r="F82" t="s">
        <v>29</v>
      </c>
      <c r="G82" t="s">
        <v>30</v>
      </c>
      <c r="H82" t="s">
        <v>112</v>
      </c>
      <c r="I82" s="6" t="s">
        <v>32</v>
      </c>
      <c r="J82" s="2">
        <v>110</v>
      </c>
      <c r="K82" s="2">
        <v>45</v>
      </c>
      <c r="L82" s="6" t="s">
        <v>33</v>
      </c>
      <c r="M82" s="6" t="s">
        <v>33</v>
      </c>
      <c r="N82" s="7">
        <v>1</v>
      </c>
      <c r="O82" s="6" t="s">
        <v>34</v>
      </c>
      <c r="P82" s="4">
        <v>105</v>
      </c>
      <c r="Q82" s="2">
        <v>42.6</v>
      </c>
      <c r="R82" s="3">
        <v>0.82</v>
      </c>
      <c r="S82" s="5">
        <v>47521</v>
      </c>
      <c r="T82" s="5">
        <v>46149</v>
      </c>
      <c r="U82" t="s">
        <v>35</v>
      </c>
      <c r="V82" s="6" t="s">
        <v>36</v>
      </c>
      <c r="W82" s="6" t="s">
        <v>37</v>
      </c>
    </row>
    <row r="83" spans="1:24">
      <c r="A83" t="s">
        <v>320</v>
      </c>
      <c r="B83" t="s">
        <v>321</v>
      </c>
      <c r="C83" t="s">
        <v>322</v>
      </c>
      <c r="D83" t="s">
        <v>27</v>
      </c>
      <c r="E83" t="s">
        <v>150</v>
      </c>
      <c r="F83" t="s">
        <v>42</v>
      </c>
      <c r="G83" t="s">
        <v>43</v>
      </c>
      <c r="H83" t="s">
        <v>112</v>
      </c>
      <c r="I83" s="6" t="s">
        <v>32</v>
      </c>
      <c r="J83" s="2">
        <v>155</v>
      </c>
      <c r="K83" s="2">
        <v>52</v>
      </c>
      <c r="L83" s="6" t="s">
        <v>92</v>
      </c>
      <c r="M83" s="6" t="s">
        <v>92</v>
      </c>
      <c r="N83" s="7">
        <v>1</v>
      </c>
      <c r="O83" s="6" t="s">
        <v>34</v>
      </c>
      <c r="P83" s="4">
        <v>80</v>
      </c>
      <c r="Q83" s="2">
        <v>46.6</v>
      </c>
      <c r="R83" s="3">
        <v>0.86</v>
      </c>
      <c r="S83" s="5">
        <v>46600</v>
      </c>
      <c r="T83" s="5">
        <v>46182</v>
      </c>
      <c r="U83" t="s">
        <v>46</v>
      </c>
      <c r="V83" s="6" t="s">
        <v>34</v>
      </c>
      <c r="W83" s="6" t="s">
        <v>75</v>
      </c>
    </row>
    <row r="84" spans="1:24">
      <c r="A84" t="s">
        <v>323</v>
      </c>
      <c r="B84" t="s">
        <v>324</v>
      </c>
      <c r="C84" t="s">
        <v>325</v>
      </c>
      <c r="D84" t="s">
        <v>50</v>
      </c>
      <c r="E84" t="s">
        <v>154</v>
      </c>
      <c r="F84" t="s">
        <v>105</v>
      </c>
      <c r="G84" t="s">
        <v>106</v>
      </c>
      <c r="H84" t="s">
        <v>112</v>
      </c>
      <c r="I84" s="6" t="s">
        <v>107</v>
      </c>
      <c r="J84" s="2">
        <v>235</v>
      </c>
      <c r="K84" s="2">
        <v>31</v>
      </c>
      <c r="L84" s="6" t="s">
        <v>92</v>
      </c>
      <c r="M84" s="6" t="s">
        <v>92</v>
      </c>
      <c r="N84" s="7">
        <v>1</v>
      </c>
      <c r="O84" s="6" t="s">
        <v>34</v>
      </c>
      <c r="P84" s="4">
        <v>60</v>
      </c>
      <c r="Q84" s="2">
        <v>59.9</v>
      </c>
      <c r="R84" s="3">
        <v>0.85</v>
      </c>
      <c r="S84" s="5">
        <v>47644</v>
      </c>
      <c r="T84" s="5">
        <v>46025</v>
      </c>
      <c r="U84" t="s">
        <v>113</v>
      </c>
      <c r="V84" s="6" t="s">
        <v>34</v>
      </c>
      <c r="W84" s="6" t="s">
        <v>37</v>
      </c>
    </row>
    <row r="85" spans="1:24">
      <c r="A85" t="s">
        <v>326</v>
      </c>
      <c r="B85" t="s">
        <v>327</v>
      </c>
      <c r="C85" t="s">
        <v>328</v>
      </c>
      <c r="D85" t="s">
        <v>27</v>
      </c>
      <c r="E85" t="s">
        <v>120</v>
      </c>
      <c r="F85" t="s">
        <v>98</v>
      </c>
      <c r="G85" t="s">
        <v>99</v>
      </c>
      <c r="H85" t="s">
        <v>91</v>
      </c>
      <c r="I85" s="6" t="s">
        <v>32</v>
      </c>
      <c r="J85" s="2">
        <v>140</v>
      </c>
      <c r="K85" s="2">
        <v>97</v>
      </c>
      <c r="L85" s="6" t="s">
        <v>183</v>
      </c>
      <c r="M85" s="6" t="s">
        <v>73</v>
      </c>
      <c r="N85" s="7">
        <v>2</v>
      </c>
      <c r="O85" s="6" t="s">
        <v>36</v>
      </c>
      <c r="P85" s="4">
        <v>145</v>
      </c>
      <c r="Q85" s="2">
        <v>95</v>
      </c>
      <c r="R85" s="3">
        <v>1.76</v>
      </c>
      <c r="S85" s="5">
        <v>47786</v>
      </c>
      <c r="T85" s="5">
        <v>45960</v>
      </c>
      <c r="U85" t="s">
        <v>100</v>
      </c>
      <c r="V85" s="6" t="s">
        <v>34</v>
      </c>
      <c r="W85" s="6" t="s">
        <v>75</v>
      </c>
      <c r="X85" t="s">
        <v>259</v>
      </c>
    </row>
    <row r="86" spans="1:24">
      <c r="A86" t="s">
        <v>329</v>
      </c>
      <c r="B86" t="s">
        <v>330</v>
      </c>
      <c r="C86" t="s">
        <v>331</v>
      </c>
      <c r="D86" t="s">
        <v>27</v>
      </c>
      <c r="E86" t="s">
        <v>120</v>
      </c>
      <c r="F86" t="s">
        <v>98</v>
      </c>
      <c r="G86" t="s">
        <v>99</v>
      </c>
      <c r="H86" t="s">
        <v>112</v>
      </c>
      <c r="I86" s="6" t="s">
        <v>32</v>
      </c>
      <c r="J86" s="2">
        <v>125</v>
      </c>
      <c r="K86" s="2">
        <v>27</v>
      </c>
      <c r="L86" s="6" t="s">
        <v>33</v>
      </c>
      <c r="M86" s="6" t="s">
        <v>55</v>
      </c>
      <c r="N86" s="7">
        <v>2</v>
      </c>
      <c r="O86" s="6" t="s">
        <v>36</v>
      </c>
      <c r="P86" s="4">
        <v>90</v>
      </c>
      <c r="Q86" s="2">
        <v>41.8</v>
      </c>
      <c r="R86" s="3">
        <v>0.68</v>
      </c>
      <c r="S86" s="5">
        <v>48319</v>
      </c>
      <c r="T86" s="5">
        <v>46128</v>
      </c>
      <c r="U86" t="s">
        <v>100</v>
      </c>
      <c r="V86" s="6" t="s">
        <v>34</v>
      </c>
      <c r="W86" s="6" t="s">
        <v>57</v>
      </c>
      <c r="X86" t="s">
        <v>259</v>
      </c>
    </row>
    <row r="87" spans="1:24">
      <c r="A87" t="s">
        <v>332</v>
      </c>
      <c r="B87" t="s">
        <v>186</v>
      </c>
      <c r="C87" t="s">
        <v>187</v>
      </c>
      <c r="D87" t="s">
        <v>27</v>
      </c>
      <c r="E87" t="s">
        <v>41</v>
      </c>
      <c r="F87" t="s">
        <v>188</v>
      </c>
      <c r="G87" t="s">
        <v>30</v>
      </c>
      <c r="H87" t="s">
        <v>44</v>
      </c>
      <c r="I87" s="6" t="s">
        <v>32</v>
      </c>
      <c r="J87" s="2">
        <v>100</v>
      </c>
      <c r="K87" s="2">
        <v>98</v>
      </c>
      <c r="L87" s="6" t="s">
        <v>33</v>
      </c>
      <c r="M87" s="6" t="s">
        <v>33</v>
      </c>
      <c r="N87" s="7">
        <v>1</v>
      </c>
      <c r="O87" s="6" t="s">
        <v>34</v>
      </c>
      <c r="P87" s="4">
        <v>120</v>
      </c>
      <c r="Q87" s="2">
        <v>54.5</v>
      </c>
      <c r="R87" s="3">
        <v>1.28</v>
      </c>
      <c r="S87" s="5">
        <v>48208</v>
      </c>
      <c r="T87" s="5">
        <v>46130</v>
      </c>
      <c r="U87" t="s">
        <v>35</v>
      </c>
      <c r="V87" s="6" t="s">
        <v>34</v>
      </c>
      <c r="W87" s="6" t="s">
        <v>37</v>
      </c>
    </row>
    <row r="88" spans="1:24">
      <c r="A88" t="s">
        <v>333</v>
      </c>
      <c r="B88" t="s">
        <v>334</v>
      </c>
      <c r="C88" t="s">
        <v>335</v>
      </c>
      <c r="D88" t="s">
        <v>27</v>
      </c>
      <c r="E88" t="s">
        <v>150</v>
      </c>
      <c r="F88" t="s">
        <v>63</v>
      </c>
      <c r="G88" t="s">
        <v>64</v>
      </c>
      <c r="H88" t="s">
        <v>112</v>
      </c>
      <c r="I88" s="6" t="s">
        <v>65</v>
      </c>
      <c r="J88" s="2">
        <v>310</v>
      </c>
      <c r="K88" s="2">
        <v>70</v>
      </c>
      <c r="L88" s="6" t="s">
        <v>73</v>
      </c>
      <c r="M88" s="6" t="s">
        <v>183</v>
      </c>
      <c r="N88" s="7">
        <v>1</v>
      </c>
      <c r="O88" s="6" t="s">
        <v>34</v>
      </c>
      <c r="P88" s="4">
        <v>120</v>
      </c>
      <c r="Q88" s="2">
        <v>133</v>
      </c>
      <c r="R88" s="3">
        <v>2.16</v>
      </c>
      <c r="S88" s="5">
        <v>46961</v>
      </c>
      <c r="T88" s="5">
        <v>46272</v>
      </c>
      <c r="U88" t="s">
        <v>66</v>
      </c>
      <c r="V88" s="6" t="s">
        <v>36</v>
      </c>
      <c r="W88" s="6" t="s">
        <v>37</v>
      </c>
      <c r="X88" t="s">
        <v>58</v>
      </c>
    </row>
    <row r="89" spans="1:24">
      <c r="A89" t="s">
        <v>336</v>
      </c>
      <c r="B89" t="s">
        <v>330</v>
      </c>
      <c r="C89" t="s">
        <v>331</v>
      </c>
      <c r="D89" t="s">
        <v>27</v>
      </c>
      <c r="E89" t="s">
        <v>120</v>
      </c>
      <c r="F89" t="s">
        <v>98</v>
      </c>
      <c r="G89" t="s">
        <v>99</v>
      </c>
      <c r="H89" t="s">
        <v>44</v>
      </c>
      <c r="I89" s="6" t="s">
        <v>32</v>
      </c>
      <c r="J89" s="2">
        <v>190</v>
      </c>
      <c r="K89" s="2">
        <v>185</v>
      </c>
      <c r="L89" s="6" t="s">
        <v>33</v>
      </c>
      <c r="M89" s="6" t="s">
        <v>55</v>
      </c>
      <c r="N89" s="7">
        <v>2</v>
      </c>
      <c r="O89" s="6" t="s">
        <v>36</v>
      </c>
      <c r="P89" s="4">
        <v>100</v>
      </c>
      <c r="Q89" s="2">
        <v>103.1</v>
      </c>
      <c r="R89" s="3">
        <v>2.06</v>
      </c>
      <c r="S89" s="5">
        <v>47712</v>
      </c>
      <c r="T89" s="5">
        <v>46128</v>
      </c>
      <c r="U89" t="s">
        <v>100</v>
      </c>
      <c r="V89" s="6" t="s">
        <v>34</v>
      </c>
      <c r="W89" s="6" t="s">
        <v>57</v>
      </c>
      <c r="X89" t="s">
        <v>259</v>
      </c>
    </row>
    <row r="90" spans="1:24">
      <c r="A90" t="s">
        <v>337</v>
      </c>
      <c r="B90" t="s">
        <v>210</v>
      </c>
      <c r="C90" t="s">
        <v>211</v>
      </c>
      <c r="D90" t="s">
        <v>50</v>
      </c>
      <c r="E90" t="s">
        <v>161</v>
      </c>
      <c r="F90" t="s">
        <v>52</v>
      </c>
      <c r="G90" t="s">
        <v>53</v>
      </c>
      <c r="H90" t="s">
        <v>44</v>
      </c>
      <c r="I90" s="6" t="s">
        <v>32</v>
      </c>
      <c r="J90" s="2">
        <v>75</v>
      </c>
      <c r="K90" s="2">
        <v>73</v>
      </c>
      <c r="L90" s="6" t="s">
        <v>33</v>
      </c>
      <c r="M90" s="6" t="s">
        <v>33</v>
      </c>
      <c r="N90" s="7">
        <v>1</v>
      </c>
      <c r="O90" s="6" t="s">
        <v>34</v>
      </c>
      <c r="P90" s="4">
        <v>90</v>
      </c>
      <c r="Q90" s="2">
        <v>40.700000000000003</v>
      </c>
      <c r="R90" s="3">
        <v>0.74</v>
      </c>
      <c r="S90" s="5">
        <v>47698</v>
      </c>
      <c r="T90" s="5">
        <v>46183</v>
      </c>
      <c r="U90" t="s">
        <v>56</v>
      </c>
      <c r="V90" s="6" t="s">
        <v>36</v>
      </c>
      <c r="W90" s="6" t="s">
        <v>37</v>
      </c>
      <c r="X90" t="s">
        <v>226</v>
      </c>
    </row>
    <row r="91" spans="1:24">
      <c r="A91" t="s">
        <v>338</v>
      </c>
      <c r="B91" t="s">
        <v>339</v>
      </c>
      <c r="C91" t="s">
        <v>340</v>
      </c>
      <c r="D91" t="s">
        <v>27</v>
      </c>
      <c r="E91" t="s">
        <v>150</v>
      </c>
      <c r="F91" t="s">
        <v>42</v>
      </c>
      <c r="G91" t="s">
        <v>43</v>
      </c>
      <c r="H91" t="s">
        <v>112</v>
      </c>
      <c r="I91" s="6" t="s">
        <v>32</v>
      </c>
      <c r="J91" s="2">
        <v>330</v>
      </c>
      <c r="K91" s="2">
        <v>95</v>
      </c>
      <c r="L91" s="6" t="s">
        <v>33</v>
      </c>
      <c r="M91" s="6" t="s">
        <v>33</v>
      </c>
      <c r="N91" s="7">
        <v>1</v>
      </c>
      <c r="O91" s="6" t="s">
        <v>34</v>
      </c>
      <c r="P91" s="4">
        <v>95</v>
      </c>
      <c r="Q91" s="2">
        <v>116.9</v>
      </c>
      <c r="R91" s="3">
        <v>2.0099999999999998</v>
      </c>
      <c r="S91" s="5">
        <v>47351</v>
      </c>
      <c r="T91" s="5">
        <v>46215</v>
      </c>
      <c r="U91" t="s">
        <v>35</v>
      </c>
      <c r="V91" s="6" t="s">
        <v>34</v>
      </c>
      <c r="W91" s="6" t="s">
        <v>75</v>
      </c>
    </row>
    <row r="92" spans="1:24">
      <c r="A92" t="s">
        <v>341</v>
      </c>
      <c r="B92" t="s">
        <v>342</v>
      </c>
      <c r="C92" t="s">
        <v>343</v>
      </c>
      <c r="D92" t="s">
        <v>50</v>
      </c>
      <c r="E92" t="s">
        <v>90</v>
      </c>
      <c r="F92" t="s">
        <v>165</v>
      </c>
      <c r="G92" t="s">
        <v>106</v>
      </c>
      <c r="H92" t="s">
        <v>44</v>
      </c>
      <c r="I92" s="6" t="s">
        <v>65</v>
      </c>
      <c r="J92" s="2">
        <v>155</v>
      </c>
      <c r="K92" s="2">
        <v>150</v>
      </c>
      <c r="L92" s="6" t="s">
        <v>33</v>
      </c>
      <c r="M92" s="6" t="s">
        <v>33</v>
      </c>
      <c r="N92" s="7">
        <v>1</v>
      </c>
      <c r="O92" s="6" t="s">
        <v>34</v>
      </c>
      <c r="P92" s="4">
        <v>95</v>
      </c>
      <c r="Q92" s="2">
        <v>83.9</v>
      </c>
      <c r="R92" s="3">
        <v>1.6</v>
      </c>
      <c r="S92" s="5">
        <v>46681</v>
      </c>
      <c r="T92" s="5">
        <v>46011</v>
      </c>
      <c r="U92" t="s">
        <v>113</v>
      </c>
      <c r="V92" s="6" t="s">
        <v>34</v>
      </c>
      <c r="W92" s="6" t="s">
        <v>75</v>
      </c>
    </row>
    <row r="93" spans="1:24">
      <c r="A93" t="s">
        <v>344</v>
      </c>
      <c r="B93" t="s">
        <v>345</v>
      </c>
      <c r="C93" t="s">
        <v>346</v>
      </c>
      <c r="D93" t="s">
        <v>50</v>
      </c>
      <c r="E93" t="s">
        <v>120</v>
      </c>
      <c r="F93" t="s">
        <v>63</v>
      </c>
      <c r="G93" t="s">
        <v>64</v>
      </c>
      <c r="H93" t="s">
        <v>44</v>
      </c>
      <c r="I93" s="6" t="s">
        <v>65</v>
      </c>
      <c r="J93" s="2">
        <v>315</v>
      </c>
      <c r="K93" s="2">
        <v>307</v>
      </c>
      <c r="L93" s="6" t="s">
        <v>33</v>
      </c>
      <c r="M93" s="6" t="s">
        <v>33</v>
      </c>
      <c r="N93" s="7">
        <v>1</v>
      </c>
      <c r="O93" s="6" t="s">
        <v>34</v>
      </c>
      <c r="P93" s="4">
        <v>100</v>
      </c>
      <c r="Q93" s="2">
        <v>171.1</v>
      </c>
      <c r="R93" s="3">
        <v>3.41</v>
      </c>
      <c r="S93" s="5">
        <v>47340</v>
      </c>
      <c r="T93" s="5">
        <v>46135</v>
      </c>
      <c r="U93" t="s">
        <v>66</v>
      </c>
      <c r="V93" s="6" t="s">
        <v>34</v>
      </c>
      <c r="W93" s="6" t="s">
        <v>75</v>
      </c>
    </row>
    <row r="94" spans="1:24">
      <c r="A94" t="s">
        <v>347</v>
      </c>
      <c r="B94" t="s">
        <v>88</v>
      </c>
      <c r="C94" t="s">
        <v>89</v>
      </c>
      <c r="D94" t="s">
        <v>27</v>
      </c>
      <c r="E94" t="s">
        <v>90</v>
      </c>
      <c r="F94" t="s">
        <v>52</v>
      </c>
      <c r="G94" t="s">
        <v>53</v>
      </c>
      <c r="H94" t="s">
        <v>112</v>
      </c>
      <c r="I94" s="6" t="s">
        <v>32</v>
      </c>
      <c r="J94" s="2">
        <v>120</v>
      </c>
      <c r="K94" s="2">
        <v>20</v>
      </c>
      <c r="L94" s="6" t="s">
        <v>92</v>
      </c>
      <c r="M94" s="6" t="s">
        <v>92</v>
      </c>
      <c r="N94" s="7">
        <v>1</v>
      </c>
      <c r="O94" s="6" t="s">
        <v>34</v>
      </c>
      <c r="P94" s="4">
        <v>80</v>
      </c>
      <c r="Q94" s="2">
        <v>31.5</v>
      </c>
      <c r="R94" s="3">
        <v>0.56000000000000005</v>
      </c>
      <c r="S94" s="5">
        <v>46754</v>
      </c>
      <c r="T94" s="5">
        <v>46097</v>
      </c>
      <c r="U94" t="s">
        <v>56</v>
      </c>
      <c r="V94" s="6" t="s">
        <v>34</v>
      </c>
      <c r="W94" s="6" t="s">
        <v>75</v>
      </c>
    </row>
    <row r="95" spans="1:24">
      <c r="A95" t="s">
        <v>348</v>
      </c>
      <c r="B95" t="s">
        <v>313</v>
      </c>
      <c r="C95" t="s">
        <v>314</v>
      </c>
      <c r="D95" t="s">
        <v>27</v>
      </c>
      <c r="E95" t="s">
        <v>97</v>
      </c>
      <c r="F95" t="s">
        <v>84</v>
      </c>
      <c r="G95" t="s">
        <v>85</v>
      </c>
      <c r="H95" t="s">
        <v>44</v>
      </c>
      <c r="I95" s="6" t="s">
        <v>32</v>
      </c>
      <c r="J95" s="2">
        <v>220</v>
      </c>
      <c r="K95" s="2">
        <v>201</v>
      </c>
      <c r="L95" s="6" t="s">
        <v>55</v>
      </c>
      <c r="M95" s="6" t="s">
        <v>55</v>
      </c>
      <c r="N95" s="7">
        <v>1</v>
      </c>
      <c r="O95" s="6" t="s">
        <v>34</v>
      </c>
      <c r="P95" s="4">
        <v>85</v>
      </c>
      <c r="Q95" s="2">
        <v>73.7</v>
      </c>
      <c r="R95" s="3">
        <v>1.99</v>
      </c>
      <c r="S95" s="5">
        <v>46952</v>
      </c>
      <c r="T95" s="5">
        <v>46149</v>
      </c>
      <c r="U95" t="s">
        <v>86</v>
      </c>
      <c r="V95" s="6" t="s">
        <v>36</v>
      </c>
      <c r="W95" s="6" t="s">
        <v>37</v>
      </c>
      <c r="X95" t="s">
        <v>278</v>
      </c>
    </row>
    <row r="96" spans="1:24">
      <c r="A96" t="s">
        <v>349</v>
      </c>
      <c r="B96" t="s">
        <v>156</v>
      </c>
      <c r="C96" t="s">
        <v>157</v>
      </c>
      <c r="D96" t="s">
        <v>27</v>
      </c>
      <c r="E96" t="s">
        <v>150</v>
      </c>
      <c r="F96" t="s">
        <v>52</v>
      </c>
      <c r="G96" t="s">
        <v>53</v>
      </c>
      <c r="H96" t="s">
        <v>44</v>
      </c>
      <c r="I96" s="6" t="s">
        <v>32</v>
      </c>
      <c r="J96" s="2">
        <v>65</v>
      </c>
      <c r="K96" s="2">
        <v>63</v>
      </c>
      <c r="L96" s="6" t="s">
        <v>73</v>
      </c>
      <c r="M96" s="6" t="s">
        <v>73</v>
      </c>
      <c r="N96" s="7">
        <v>1</v>
      </c>
      <c r="O96" s="6" t="s">
        <v>34</v>
      </c>
      <c r="P96" s="4">
        <v>125</v>
      </c>
      <c r="Q96" s="2">
        <v>44.8</v>
      </c>
      <c r="R96" s="3">
        <v>0.86</v>
      </c>
      <c r="S96" s="5">
        <v>47426</v>
      </c>
      <c r="T96" s="5">
        <v>46256</v>
      </c>
      <c r="U96" t="s">
        <v>56</v>
      </c>
      <c r="V96" s="6" t="s">
        <v>34</v>
      </c>
      <c r="W96" s="6" t="s">
        <v>37</v>
      </c>
    </row>
    <row r="97" spans="1:24">
      <c r="A97" t="s">
        <v>350</v>
      </c>
      <c r="B97" t="s">
        <v>351</v>
      </c>
      <c r="C97" t="s">
        <v>352</v>
      </c>
      <c r="D97" t="s">
        <v>50</v>
      </c>
      <c r="E97" t="s">
        <v>71</v>
      </c>
      <c r="F97" t="s">
        <v>42</v>
      </c>
      <c r="G97" t="s">
        <v>43</v>
      </c>
      <c r="H97" t="s">
        <v>31</v>
      </c>
      <c r="I97" s="6" t="s">
        <v>32</v>
      </c>
      <c r="J97" s="2">
        <v>230</v>
      </c>
      <c r="K97" s="2">
        <v>205</v>
      </c>
      <c r="L97" s="6" t="s">
        <v>33</v>
      </c>
      <c r="M97" s="6" t="s">
        <v>92</v>
      </c>
      <c r="N97" s="7">
        <v>1</v>
      </c>
      <c r="O97" s="6" t="s">
        <v>34</v>
      </c>
      <c r="P97" s="4">
        <v>115</v>
      </c>
      <c r="Q97" s="2">
        <v>141.4</v>
      </c>
      <c r="R97" s="3">
        <v>2.69</v>
      </c>
      <c r="S97" s="5">
        <v>48962</v>
      </c>
      <c r="T97" s="5">
        <v>46268</v>
      </c>
      <c r="U97" t="s">
        <v>35</v>
      </c>
      <c r="V97" s="6" t="s">
        <v>34</v>
      </c>
      <c r="W97" s="6" t="s">
        <v>37</v>
      </c>
      <c r="X97" t="s">
        <v>353</v>
      </c>
    </row>
    <row r="98" spans="1:24">
      <c r="A98" t="s">
        <v>354</v>
      </c>
      <c r="B98" t="s">
        <v>254</v>
      </c>
      <c r="C98" t="s">
        <v>255</v>
      </c>
      <c r="D98" t="s">
        <v>27</v>
      </c>
      <c r="E98" t="s">
        <v>154</v>
      </c>
      <c r="F98" t="s">
        <v>52</v>
      </c>
      <c r="G98" t="s">
        <v>53</v>
      </c>
      <c r="H98" t="s">
        <v>112</v>
      </c>
      <c r="I98" s="6" t="s">
        <v>32</v>
      </c>
      <c r="J98" s="2">
        <v>130</v>
      </c>
      <c r="K98" s="2">
        <v>21</v>
      </c>
      <c r="L98" s="6" t="s">
        <v>92</v>
      </c>
      <c r="M98" s="6" t="s">
        <v>92</v>
      </c>
      <c r="N98" s="7">
        <v>1</v>
      </c>
      <c r="O98" s="6" t="s">
        <v>34</v>
      </c>
      <c r="P98" s="4">
        <v>85</v>
      </c>
      <c r="Q98" s="2">
        <v>34</v>
      </c>
      <c r="R98" s="3">
        <v>0.63</v>
      </c>
      <c r="S98" s="5">
        <v>48111</v>
      </c>
      <c r="T98" s="5">
        <v>46229</v>
      </c>
      <c r="U98" t="s">
        <v>56</v>
      </c>
      <c r="V98" s="6" t="s">
        <v>34</v>
      </c>
      <c r="W98" s="6" t="s">
        <v>75</v>
      </c>
      <c r="X98" t="s">
        <v>93</v>
      </c>
    </row>
    <row r="99" spans="1:24">
      <c r="A99" t="s">
        <v>355</v>
      </c>
      <c r="B99" t="s">
        <v>356</v>
      </c>
      <c r="C99" t="s">
        <v>357</v>
      </c>
      <c r="D99" t="s">
        <v>27</v>
      </c>
      <c r="E99" t="s">
        <v>51</v>
      </c>
      <c r="F99" t="s">
        <v>42</v>
      </c>
      <c r="G99" t="s">
        <v>43</v>
      </c>
      <c r="H99" t="s">
        <v>44</v>
      </c>
      <c r="I99" s="6" t="s">
        <v>32</v>
      </c>
      <c r="J99" s="2">
        <v>395</v>
      </c>
      <c r="K99" s="2">
        <v>358</v>
      </c>
      <c r="L99" s="6" t="s">
        <v>33</v>
      </c>
      <c r="M99" s="6" t="s">
        <v>33</v>
      </c>
      <c r="N99" s="7">
        <v>1</v>
      </c>
      <c r="O99" s="6" t="s">
        <v>34</v>
      </c>
      <c r="P99" s="4">
        <v>100</v>
      </c>
      <c r="Q99" s="2">
        <v>207.1</v>
      </c>
      <c r="R99" s="3">
        <v>4.0999999999999996</v>
      </c>
      <c r="S99" s="5">
        <v>46787</v>
      </c>
      <c r="T99" s="5">
        <v>46095</v>
      </c>
      <c r="U99" t="s">
        <v>35</v>
      </c>
      <c r="V99" s="6" t="s">
        <v>34</v>
      </c>
      <c r="W99" s="6" t="s">
        <v>37</v>
      </c>
    </row>
    <row r="100" spans="1:24">
      <c r="A100" t="s">
        <v>358</v>
      </c>
      <c r="B100" t="s">
        <v>359</v>
      </c>
      <c r="C100" t="s">
        <v>360</v>
      </c>
      <c r="D100" t="s">
        <v>50</v>
      </c>
      <c r="E100" t="s">
        <v>97</v>
      </c>
      <c r="F100" t="s">
        <v>105</v>
      </c>
      <c r="G100" t="s">
        <v>106</v>
      </c>
      <c r="H100" t="s">
        <v>112</v>
      </c>
      <c r="I100" s="6" t="s">
        <v>32</v>
      </c>
      <c r="J100" s="2">
        <v>205</v>
      </c>
      <c r="K100" s="2">
        <v>38</v>
      </c>
      <c r="L100" s="6" t="s">
        <v>183</v>
      </c>
      <c r="M100" s="6" t="s">
        <v>183</v>
      </c>
      <c r="N100" s="7">
        <v>1</v>
      </c>
      <c r="O100" s="6" t="s">
        <v>34</v>
      </c>
      <c r="P100" s="4">
        <v>140</v>
      </c>
      <c r="Q100" s="2">
        <v>109.4</v>
      </c>
      <c r="R100" s="3">
        <v>1.56</v>
      </c>
      <c r="S100" s="5">
        <v>47257</v>
      </c>
      <c r="T100" s="5">
        <v>46089</v>
      </c>
      <c r="U100" t="s">
        <v>113</v>
      </c>
      <c r="V100" s="6" t="s">
        <v>34</v>
      </c>
      <c r="W100" s="6" t="s">
        <v>37</v>
      </c>
    </row>
    <row r="101" spans="1:24">
      <c r="A101" t="s">
        <v>361</v>
      </c>
      <c r="B101" t="s">
        <v>362</v>
      </c>
      <c r="C101" t="s">
        <v>363</v>
      </c>
      <c r="D101" t="s">
        <v>27</v>
      </c>
      <c r="E101" t="s">
        <v>28</v>
      </c>
      <c r="F101" t="s">
        <v>63</v>
      </c>
      <c r="G101" t="s">
        <v>64</v>
      </c>
      <c r="H101" t="s">
        <v>31</v>
      </c>
      <c r="I101" s="6" t="s">
        <v>65</v>
      </c>
      <c r="J101" s="2">
        <v>135</v>
      </c>
      <c r="K101" s="2">
        <v>122</v>
      </c>
      <c r="L101" s="6" t="s">
        <v>92</v>
      </c>
      <c r="M101" s="6" t="s">
        <v>92</v>
      </c>
      <c r="N101" s="7">
        <v>1</v>
      </c>
      <c r="O101" s="6" t="s">
        <v>34</v>
      </c>
      <c r="P101" s="4">
        <v>110</v>
      </c>
      <c r="Q101" s="2">
        <v>70.7</v>
      </c>
      <c r="R101" s="3">
        <v>1.53</v>
      </c>
      <c r="S101" s="5">
        <v>49570</v>
      </c>
      <c r="T101" s="5">
        <v>46157</v>
      </c>
      <c r="U101" t="s">
        <v>66</v>
      </c>
      <c r="V101" s="6" t="s">
        <v>34</v>
      </c>
      <c r="W101" s="6" t="s">
        <v>75</v>
      </c>
    </row>
    <row r="102" spans="1:24">
      <c r="A102" t="s">
        <v>364</v>
      </c>
      <c r="B102" t="s">
        <v>365</v>
      </c>
      <c r="C102" t="s">
        <v>366</v>
      </c>
      <c r="D102" t="s">
        <v>50</v>
      </c>
      <c r="E102" t="s">
        <v>62</v>
      </c>
      <c r="F102" t="s">
        <v>42</v>
      </c>
      <c r="G102" t="s">
        <v>43</v>
      </c>
      <c r="H102" t="s">
        <v>112</v>
      </c>
      <c r="I102" s="6" t="s">
        <v>32</v>
      </c>
      <c r="J102" s="2">
        <v>205</v>
      </c>
      <c r="K102" s="2">
        <v>68</v>
      </c>
      <c r="L102" s="6" t="s">
        <v>130</v>
      </c>
      <c r="M102" s="6" t="s">
        <v>130</v>
      </c>
      <c r="N102" s="7">
        <v>2</v>
      </c>
      <c r="O102" s="6" t="s">
        <v>34</v>
      </c>
      <c r="P102" s="4">
        <v>175</v>
      </c>
      <c r="Q102" s="2">
        <v>150.19999999999999</v>
      </c>
      <c r="R102" s="3">
        <v>2.23</v>
      </c>
      <c r="S102" s="5">
        <v>47483</v>
      </c>
      <c r="T102" s="5">
        <v>46047</v>
      </c>
      <c r="U102" t="s">
        <v>46</v>
      </c>
      <c r="V102" s="6" t="s">
        <v>34</v>
      </c>
      <c r="W102" s="6" t="s">
        <v>75</v>
      </c>
    </row>
    <row r="103" spans="1:24">
      <c r="A103" t="s">
        <v>367</v>
      </c>
      <c r="B103" t="s">
        <v>368</v>
      </c>
      <c r="C103" t="s">
        <v>369</v>
      </c>
      <c r="D103" t="s">
        <v>27</v>
      </c>
      <c r="E103" t="s">
        <v>28</v>
      </c>
      <c r="F103" t="s">
        <v>98</v>
      </c>
      <c r="G103" t="s">
        <v>99</v>
      </c>
      <c r="H103" t="s">
        <v>44</v>
      </c>
      <c r="I103" s="6" t="s">
        <v>32</v>
      </c>
      <c r="J103" s="2">
        <v>120</v>
      </c>
      <c r="K103" s="2">
        <v>110</v>
      </c>
      <c r="L103" s="6" t="s">
        <v>54</v>
      </c>
      <c r="M103" s="6" t="s">
        <v>54</v>
      </c>
      <c r="N103" s="7">
        <v>1</v>
      </c>
      <c r="O103" s="6" t="s">
        <v>34</v>
      </c>
      <c r="P103" s="4">
        <v>65</v>
      </c>
      <c r="Q103" s="2">
        <v>34.5</v>
      </c>
      <c r="R103" s="3">
        <v>0.86</v>
      </c>
      <c r="S103" s="5">
        <v>46701</v>
      </c>
      <c r="T103" s="5">
        <v>45982</v>
      </c>
      <c r="U103" t="s">
        <v>100</v>
      </c>
      <c r="V103" s="6" t="s">
        <v>34</v>
      </c>
      <c r="W103" s="6" t="s">
        <v>75</v>
      </c>
      <c r="X103" t="s">
        <v>226</v>
      </c>
    </row>
    <row r="104" spans="1:24">
      <c r="A104" t="s">
        <v>370</v>
      </c>
      <c r="B104" t="s">
        <v>210</v>
      </c>
      <c r="C104" t="s">
        <v>211</v>
      </c>
      <c r="D104" t="s">
        <v>50</v>
      </c>
      <c r="E104" t="s">
        <v>161</v>
      </c>
      <c r="F104" t="s">
        <v>52</v>
      </c>
      <c r="G104" t="s">
        <v>53</v>
      </c>
      <c r="H104" t="s">
        <v>44</v>
      </c>
      <c r="I104" s="6" t="s">
        <v>32</v>
      </c>
      <c r="J104" s="2">
        <v>95</v>
      </c>
      <c r="K104" s="2">
        <v>86</v>
      </c>
      <c r="L104" s="6" t="s">
        <v>33</v>
      </c>
      <c r="M104" s="6" t="s">
        <v>33</v>
      </c>
      <c r="N104" s="7">
        <v>1</v>
      </c>
      <c r="O104" s="6" t="s">
        <v>34</v>
      </c>
      <c r="P104" s="4">
        <v>100</v>
      </c>
      <c r="Q104" s="2">
        <v>49.8</v>
      </c>
      <c r="R104" s="3">
        <v>0.99</v>
      </c>
      <c r="S104" s="5">
        <v>48459</v>
      </c>
      <c r="T104" s="5">
        <v>46183</v>
      </c>
      <c r="U104" t="s">
        <v>56</v>
      </c>
      <c r="V104" s="6" t="s">
        <v>36</v>
      </c>
      <c r="W104" s="6" t="s">
        <v>37</v>
      </c>
    </row>
    <row r="105" spans="1:24">
      <c r="A105" t="s">
        <v>371</v>
      </c>
      <c r="B105" t="s">
        <v>372</v>
      </c>
      <c r="C105" t="s">
        <v>373</v>
      </c>
      <c r="D105" t="s">
        <v>50</v>
      </c>
      <c r="E105" t="s">
        <v>90</v>
      </c>
      <c r="F105" t="s">
        <v>98</v>
      </c>
      <c r="G105" t="s">
        <v>99</v>
      </c>
      <c r="H105" t="s">
        <v>112</v>
      </c>
      <c r="I105" s="6" t="s">
        <v>32</v>
      </c>
      <c r="J105" s="2">
        <v>170</v>
      </c>
      <c r="K105" s="2">
        <v>27</v>
      </c>
      <c r="L105" s="6" t="s">
        <v>130</v>
      </c>
      <c r="M105" s="6" t="s">
        <v>130</v>
      </c>
      <c r="N105" s="7">
        <v>2</v>
      </c>
      <c r="O105" s="6" t="s">
        <v>34</v>
      </c>
      <c r="P105" s="4">
        <v>185</v>
      </c>
      <c r="Q105" s="2">
        <v>108.4</v>
      </c>
      <c r="R105" s="3">
        <v>1.6</v>
      </c>
      <c r="S105" s="5">
        <v>46719</v>
      </c>
      <c r="T105" s="5">
        <v>46147</v>
      </c>
      <c r="U105" t="s">
        <v>100</v>
      </c>
      <c r="V105" s="6" t="s">
        <v>34</v>
      </c>
      <c r="W105" s="6" t="s">
        <v>75</v>
      </c>
    </row>
    <row r="106" spans="1:24">
      <c r="A106" t="s">
        <v>374</v>
      </c>
      <c r="B106" t="s">
        <v>330</v>
      </c>
      <c r="C106" t="s">
        <v>331</v>
      </c>
      <c r="D106" t="s">
        <v>27</v>
      </c>
      <c r="E106" t="s">
        <v>120</v>
      </c>
      <c r="F106" t="s">
        <v>98</v>
      </c>
      <c r="G106" t="s">
        <v>99</v>
      </c>
      <c r="H106" t="s">
        <v>91</v>
      </c>
      <c r="I106" s="6" t="s">
        <v>32</v>
      </c>
      <c r="J106" s="2">
        <v>125</v>
      </c>
      <c r="K106" s="2">
        <v>77</v>
      </c>
      <c r="L106" s="6" t="s">
        <v>33</v>
      </c>
      <c r="M106" s="6" t="s">
        <v>55</v>
      </c>
      <c r="N106" s="7">
        <v>2</v>
      </c>
      <c r="O106" s="6" t="s">
        <v>36</v>
      </c>
      <c r="P106" s="4">
        <v>90</v>
      </c>
      <c r="Q106" s="2">
        <v>47.6</v>
      </c>
      <c r="R106" s="3">
        <v>0.97</v>
      </c>
      <c r="S106" s="5">
        <v>47209</v>
      </c>
      <c r="T106" s="5">
        <v>46128</v>
      </c>
      <c r="U106" t="s">
        <v>100</v>
      </c>
      <c r="V106" s="6" t="s">
        <v>34</v>
      </c>
      <c r="W106" s="6" t="s">
        <v>75</v>
      </c>
      <c r="X106" t="s">
        <v>259</v>
      </c>
    </row>
    <row r="107" spans="1:24">
      <c r="A107" t="s">
        <v>375</v>
      </c>
      <c r="B107" t="s">
        <v>376</v>
      </c>
      <c r="C107" t="s">
        <v>377</v>
      </c>
      <c r="D107" t="s">
        <v>50</v>
      </c>
      <c r="E107" t="s">
        <v>97</v>
      </c>
      <c r="F107" t="s">
        <v>188</v>
      </c>
      <c r="G107" t="s">
        <v>30</v>
      </c>
      <c r="H107" t="s">
        <v>44</v>
      </c>
      <c r="I107" s="6" t="s">
        <v>32</v>
      </c>
      <c r="J107" s="2">
        <v>130</v>
      </c>
      <c r="K107" s="2">
        <v>118</v>
      </c>
      <c r="L107" s="6" t="s">
        <v>33</v>
      </c>
      <c r="M107" s="6" t="s">
        <v>33</v>
      </c>
      <c r="N107" s="7">
        <v>1</v>
      </c>
      <c r="O107" s="6" t="s">
        <v>34</v>
      </c>
      <c r="P107" s="4">
        <v>100</v>
      </c>
      <c r="Q107" s="2">
        <v>68.2</v>
      </c>
      <c r="R107" s="3">
        <v>1.35</v>
      </c>
      <c r="S107" s="5">
        <v>48544</v>
      </c>
      <c r="T107" s="5">
        <v>45986</v>
      </c>
      <c r="U107" t="s">
        <v>74</v>
      </c>
      <c r="V107" s="6" t="s">
        <v>36</v>
      </c>
      <c r="W107" s="6" t="s">
        <v>37</v>
      </c>
      <c r="X107" t="s">
        <v>278</v>
      </c>
    </row>
    <row r="108" spans="1:24">
      <c r="A108" t="s">
        <v>378</v>
      </c>
      <c r="B108" t="s">
        <v>156</v>
      </c>
      <c r="C108" t="s">
        <v>157</v>
      </c>
      <c r="D108" t="s">
        <v>27</v>
      </c>
      <c r="E108" t="s">
        <v>150</v>
      </c>
      <c r="F108" t="s">
        <v>52</v>
      </c>
      <c r="G108" t="s">
        <v>53</v>
      </c>
      <c r="H108" t="s">
        <v>121</v>
      </c>
      <c r="I108" s="6" t="s">
        <v>32</v>
      </c>
      <c r="J108" s="2">
        <v>100</v>
      </c>
      <c r="K108" s="2">
        <v>100</v>
      </c>
      <c r="L108" s="6" t="s">
        <v>73</v>
      </c>
      <c r="M108" s="6" t="s">
        <v>73</v>
      </c>
      <c r="N108" s="7">
        <v>1</v>
      </c>
      <c r="O108" s="6" t="s">
        <v>34</v>
      </c>
      <c r="P108" s="4">
        <v>110</v>
      </c>
      <c r="Q108" s="2">
        <v>70</v>
      </c>
      <c r="R108" s="3">
        <v>1.2</v>
      </c>
      <c r="S108" s="5">
        <v>47999</v>
      </c>
      <c r="T108" s="5">
        <v>46256</v>
      </c>
      <c r="U108" t="s">
        <v>56</v>
      </c>
      <c r="V108" s="6" t="s">
        <v>34</v>
      </c>
      <c r="W108" s="6" t="s">
        <v>37</v>
      </c>
    </row>
    <row r="109" spans="1:24">
      <c r="A109" t="s">
        <v>379</v>
      </c>
      <c r="B109" t="s">
        <v>380</v>
      </c>
      <c r="C109" t="s">
        <v>381</v>
      </c>
      <c r="D109" t="s">
        <v>50</v>
      </c>
      <c r="E109" t="s">
        <v>97</v>
      </c>
      <c r="F109" t="s">
        <v>129</v>
      </c>
      <c r="G109" t="s">
        <v>64</v>
      </c>
      <c r="H109" t="s">
        <v>91</v>
      </c>
      <c r="I109" s="6" t="s">
        <v>65</v>
      </c>
      <c r="J109" s="2">
        <v>40</v>
      </c>
      <c r="K109" s="2">
        <v>26</v>
      </c>
      <c r="L109" s="6" t="s">
        <v>33</v>
      </c>
      <c r="M109" s="6" t="s">
        <v>33</v>
      </c>
      <c r="N109" s="7">
        <v>1</v>
      </c>
      <c r="O109" s="6" t="s">
        <v>34</v>
      </c>
      <c r="P109" s="4">
        <v>65</v>
      </c>
      <c r="Q109" s="2">
        <v>15.8</v>
      </c>
      <c r="R109" s="3">
        <v>0.24</v>
      </c>
      <c r="S109" s="5">
        <v>48365</v>
      </c>
      <c r="T109" s="5">
        <v>46097</v>
      </c>
      <c r="U109" t="s">
        <v>66</v>
      </c>
      <c r="V109" s="6" t="s">
        <v>34</v>
      </c>
      <c r="W109" s="6" t="s">
        <v>75</v>
      </c>
    </row>
    <row r="110" spans="1:24">
      <c r="A110" t="s">
        <v>382</v>
      </c>
      <c r="B110" t="s">
        <v>48</v>
      </c>
      <c r="C110" t="s">
        <v>49</v>
      </c>
      <c r="D110" t="s">
        <v>50</v>
      </c>
      <c r="E110" t="s">
        <v>51</v>
      </c>
      <c r="F110" t="s">
        <v>52</v>
      </c>
      <c r="G110" t="s">
        <v>53</v>
      </c>
      <c r="H110" t="s">
        <v>31</v>
      </c>
      <c r="I110" s="6" t="s">
        <v>32</v>
      </c>
      <c r="J110" s="2">
        <v>145</v>
      </c>
      <c r="K110" s="2">
        <v>142</v>
      </c>
      <c r="L110" s="6" t="s">
        <v>54</v>
      </c>
      <c r="M110" s="6" t="s">
        <v>55</v>
      </c>
      <c r="N110" s="7">
        <v>1</v>
      </c>
      <c r="O110" s="6" t="s">
        <v>34</v>
      </c>
      <c r="P110" s="4">
        <v>70</v>
      </c>
      <c r="Q110" s="2">
        <v>57.4</v>
      </c>
      <c r="R110" s="3">
        <v>1.1499999999999999</v>
      </c>
      <c r="S110" s="5">
        <v>50178</v>
      </c>
      <c r="T110" s="5">
        <v>46046</v>
      </c>
      <c r="U110" t="s">
        <v>56</v>
      </c>
      <c r="V110" s="6" t="s">
        <v>34</v>
      </c>
      <c r="W110" s="6" t="s">
        <v>75</v>
      </c>
      <c r="X110" t="s">
        <v>58</v>
      </c>
    </row>
    <row r="111" spans="1:24">
      <c r="A111" t="s">
        <v>383</v>
      </c>
      <c r="B111" t="s">
        <v>267</v>
      </c>
      <c r="C111" t="s">
        <v>268</v>
      </c>
      <c r="D111" t="s">
        <v>50</v>
      </c>
      <c r="E111" t="s">
        <v>41</v>
      </c>
      <c r="F111" t="s">
        <v>42</v>
      </c>
      <c r="G111" t="s">
        <v>43</v>
      </c>
      <c r="H111" t="s">
        <v>112</v>
      </c>
      <c r="I111" s="6" t="s">
        <v>32</v>
      </c>
      <c r="J111" s="2">
        <v>185</v>
      </c>
      <c r="K111" s="2">
        <v>63</v>
      </c>
      <c r="L111" s="6" t="s">
        <v>33</v>
      </c>
      <c r="M111" s="6" t="s">
        <v>33</v>
      </c>
      <c r="N111" s="7">
        <v>1</v>
      </c>
      <c r="O111" s="6" t="s">
        <v>34</v>
      </c>
      <c r="P111" s="4">
        <v>90</v>
      </c>
      <c r="Q111" s="2">
        <v>68.2</v>
      </c>
      <c r="R111" s="3">
        <v>1.1399999999999999</v>
      </c>
      <c r="S111" s="5">
        <v>47659</v>
      </c>
      <c r="T111" s="5">
        <v>46149</v>
      </c>
      <c r="U111" t="s">
        <v>35</v>
      </c>
      <c r="V111" s="6" t="s">
        <v>34</v>
      </c>
      <c r="W111" s="6" t="s">
        <v>75</v>
      </c>
      <c r="X111" t="s">
        <v>384</v>
      </c>
    </row>
    <row r="112" spans="1:24">
      <c r="A112" t="s">
        <v>385</v>
      </c>
      <c r="B112" t="s">
        <v>25</v>
      </c>
      <c r="C112" t="s">
        <v>26</v>
      </c>
      <c r="D112" t="s">
        <v>27</v>
      </c>
      <c r="E112" t="s">
        <v>28</v>
      </c>
      <c r="F112" t="s">
        <v>29</v>
      </c>
      <c r="G112" t="s">
        <v>30</v>
      </c>
      <c r="H112" t="s">
        <v>44</v>
      </c>
      <c r="I112" s="6" t="s">
        <v>32</v>
      </c>
      <c r="J112" s="2">
        <v>140</v>
      </c>
      <c r="K112" s="2">
        <v>136</v>
      </c>
      <c r="L112" s="6" t="s">
        <v>33</v>
      </c>
      <c r="M112" s="6" t="s">
        <v>33</v>
      </c>
      <c r="N112" s="7">
        <v>1</v>
      </c>
      <c r="O112" s="6" t="s">
        <v>34</v>
      </c>
      <c r="P112" s="4">
        <v>110</v>
      </c>
      <c r="Q112" s="2">
        <v>75.900000000000006</v>
      </c>
      <c r="R112" s="3">
        <v>1.65</v>
      </c>
      <c r="S112" s="5">
        <v>46893</v>
      </c>
      <c r="T112" s="5">
        <v>46149</v>
      </c>
      <c r="U112" t="s">
        <v>35</v>
      </c>
      <c r="V112" s="6" t="s">
        <v>34</v>
      </c>
      <c r="W112" s="6" t="s">
        <v>57</v>
      </c>
    </row>
    <row r="113" spans="1:24">
      <c r="A113" t="s">
        <v>386</v>
      </c>
      <c r="B113" t="s">
        <v>387</v>
      </c>
      <c r="C113" t="s">
        <v>388</v>
      </c>
      <c r="D113" t="s">
        <v>27</v>
      </c>
      <c r="E113" t="s">
        <v>28</v>
      </c>
      <c r="F113" t="s">
        <v>105</v>
      </c>
      <c r="G113" t="s">
        <v>106</v>
      </c>
      <c r="H113" t="s">
        <v>121</v>
      </c>
      <c r="I113" s="6" t="s">
        <v>32</v>
      </c>
      <c r="J113" s="2">
        <v>110</v>
      </c>
      <c r="K113" s="2">
        <v>110</v>
      </c>
      <c r="L113" s="6" t="s">
        <v>33</v>
      </c>
      <c r="M113" s="6" t="s">
        <v>33</v>
      </c>
      <c r="N113" s="7">
        <v>1</v>
      </c>
      <c r="O113" s="6" t="s">
        <v>34</v>
      </c>
      <c r="P113" s="4">
        <v>80</v>
      </c>
      <c r="Q113" s="2">
        <v>60.5</v>
      </c>
      <c r="R113" s="3">
        <v>0.99</v>
      </c>
      <c r="S113" s="5">
        <v>48334</v>
      </c>
      <c r="T113" s="5">
        <v>45820</v>
      </c>
      <c r="U113" t="s">
        <v>113</v>
      </c>
      <c r="V113" s="6" t="s">
        <v>34</v>
      </c>
      <c r="W113" s="6" t="s">
        <v>37</v>
      </c>
      <c r="X113" t="s">
        <v>67</v>
      </c>
    </row>
    <row r="114" spans="1:24">
      <c r="A114" t="s">
        <v>389</v>
      </c>
      <c r="B114" t="s">
        <v>273</v>
      </c>
      <c r="C114" t="s">
        <v>274</v>
      </c>
      <c r="D114" t="s">
        <v>27</v>
      </c>
      <c r="E114" t="s">
        <v>90</v>
      </c>
      <c r="F114" t="s">
        <v>29</v>
      </c>
      <c r="G114" t="s">
        <v>30</v>
      </c>
      <c r="H114" t="s">
        <v>112</v>
      </c>
      <c r="I114" s="6" t="s">
        <v>32</v>
      </c>
      <c r="J114" s="2">
        <v>120</v>
      </c>
      <c r="K114" s="2">
        <v>26</v>
      </c>
      <c r="L114" s="6" t="s">
        <v>73</v>
      </c>
      <c r="M114" s="6" t="s">
        <v>33</v>
      </c>
      <c r="N114" s="7">
        <v>1</v>
      </c>
      <c r="O114" s="6" t="s">
        <v>34</v>
      </c>
      <c r="P114" s="4">
        <v>130</v>
      </c>
      <c r="Q114" s="2">
        <v>51.1</v>
      </c>
      <c r="R114" s="3">
        <v>0.89</v>
      </c>
      <c r="S114" s="5">
        <v>47396</v>
      </c>
      <c r="T114" s="5">
        <v>45961</v>
      </c>
      <c r="U114" t="s">
        <v>74</v>
      </c>
      <c r="V114" s="6" t="s">
        <v>34</v>
      </c>
      <c r="W114" s="6" t="s">
        <v>75</v>
      </c>
      <c r="X114" t="s">
        <v>176</v>
      </c>
    </row>
    <row r="115" spans="1:24">
      <c r="A115" t="s">
        <v>390</v>
      </c>
      <c r="B115" t="s">
        <v>115</v>
      </c>
      <c r="C115" t="s">
        <v>116</v>
      </c>
      <c r="D115" t="s">
        <v>50</v>
      </c>
      <c r="E115" t="s">
        <v>41</v>
      </c>
      <c r="F115" t="s">
        <v>84</v>
      </c>
      <c r="G115" t="s">
        <v>85</v>
      </c>
      <c r="H115" t="s">
        <v>44</v>
      </c>
      <c r="I115" s="6" t="s">
        <v>32</v>
      </c>
      <c r="J115" s="2">
        <v>110</v>
      </c>
      <c r="K115" s="2">
        <v>104</v>
      </c>
      <c r="L115" s="6" t="s">
        <v>55</v>
      </c>
      <c r="M115" s="6" t="s">
        <v>92</v>
      </c>
      <c r="N115" s="7">
        <v>1</v>
      </c>
      <c r="O115" s="6" t="s">
        <v>34</v>
      </c>
      <c r="P115" s="4">
        <v>70</v>
      </c>
      <c r="Q115" s="2">
        <v>37.4</v>
      </c>
      <c r="R115" s="3">
        <v>0.85</v>
      </c>
      <c r="S115" s="5">
        <v>47318</v>
      </c>
      <c r="T115" s="5">
        <v>46021</v>
      </c>
      <c r="U115" t="s">
        <v>86</v>
      </c>
      <c r="V115" s="6" t="s">
        <v>34</v>
      </c>
      <c r="W115" s="6" t="s">
        <v>75</v>
      </c>
      <c r="X115" t="s">
        <v>58</v>
      </c>
    </row>
    <row r="116" spans="1:24">
      <c r="A116" t="s">
        <v>391</v>
      </c>
      <c r="B116" t="s">
        <v>376</v>
      </c>
      <c r="C116" t="s">
        <v>377</v>
      </c>
      <c r="D116" t="s">
        <v>50</v>
      </c>
      <c r="E116" t="s">
        <v>97</v>
      </c>
      <c r="F116" t="s">
        <v>188</v>
      </c>
      <c r="G116" t="s">
        <v>30</v>
      </c>
      <c r="H116" t="s">
        <v>44</v>
      </c>
      <c r="I116" s="6" t="s">
        <v>32</v>
      </c>
      <c r="J116" s="2">
        <v>205</v>
      </c>
      <c r="K116" s="2">
        <v>202</v>
      </c>
      <c r="L116" s="6" t="s">
        <v>33</v>
      </c>
      <c r="M116" s="6" t="s">
        <v>33</v>
      </c>
      <c r="N116" s="7">
        <v>1</v>
      </c>
      <c r="O116" s="6" t="s">
        <v>34</v>
      </c>
      <c r="P116" s="4">
        <v>95</v>
      </c>
      <c r="Q116" s="2">
        <v>111.9</v>
      </c>
      <c r="R116" s="3">
        <v>2.13</v>
      </c>
      <c r="S116" s="5">
        <v>47200</v>
      </c>
      <c r="T116" s="5">
        <v>45986</v>
      </c>
      <c r="U116" t="s">
        <v>74</v>
      </c>
      <c r="V116" s="6" t="s">
        <v>34</v>
      </c>
      <c r="W116" s="6" t="s">
        <v>37</v>
      </c>
    </row>
    <row r="117" spans="1:24">
      <c r="A117" t="s">
        <v>392</v>
      </c>
      <c r="B117" t="s">
        <v>393</v>
      </c>
      <c r="C117" t="s">
        <v>394</v>
      </c>
      <c r="D117" t="s">
        <v>27</v>
      </c>
      <c r="E117" t="s">
        <v>28</v>
      </c>
      <c r="F117" t="s">
        <v>52</v>
      </c>
      <c r="G117" t="s">
        <v>53</v>
      </c>
      <c r="H117" t="s">
        <v>121</v>
      </c>
      <c r="I117" s="6" t="s">
        <v>32</v>
      </c>
      <c r="J117" s="2">
        <v>150</v>
      </c>
      <c r="K117" s="2">
        <v>150</v>
      </c>
      <c r="L117" s="6" t="s">
        <v>54</v>
      </c>
      <c r="M117" s="6" t="s">
        <v>55</v>
      </c>
      <c r="N117" s="7">
        <v>1</v>
      </c>
      <c r="O117" s="6" t="s">
        <v>34</v>
      </c>
      <c r="P117" s="4">
        <v>50</v>
      </c>
      <c r="Q117" s="2">
        <v>45</v>
      </c>
      <c r="R117" s="3">
        <v>0.9</v>
      </c>
      <c r="S117" s="5">
        <v>47705</v>
      </c>
      <c r="T117" s="5">
        <v>46095</v>
      </c>
      <c r="U117" t="s">
        <v>56</v>
      </c>
      <c r="V117" s="6" t="s">
        <v>36</v>
      </c>
      <c r="W117" s="6" t="s">
        <v>37</v>
      </c>
      <c r="X117" t="s">
        <v>58</v>
      </c>
    </row>
    <row r="118" spans="1:24">
      <c r="A118" t="s">
        <v>395</v>
      </c>
      <c r="B118" t="s">
        <v>396</v>
      </c>
      <c r="C118" t="s">
        <v>397</v>
      </c>
      <c r="D118" t="s">
        <v>27</v>
      </c>
      <c r="E118" t="s">
        <v>97</v>
      </c>
      <c r="F118" t="s">
        <v>42</v>
      </c>
      <c r="G118" t="s">
        <v>43</v>
      </c>
      <c r="H118" t="s">
        <v>44</v>
      </c>
      <c r="I118" s="6" t="s">
        <v>32</v>
      </c>
      <c r="J118" s="2">
        <v>265</v>
      </c>
      <c r="K118" s="2">
        <v>250</v>
      </c>
      <c r="L118" s="6" t="s">
        <v>73</v>
      </c>
      <c r="M118" s="6" t="s">
        <v>73</v>
      </c>
      <c r="N118" s="7">
        <v>1</v>
      </c>
      <c r="O118" s="6" t="s">
        <v>34</v>
      </c>
      <c r="P118" s="4">
        <v>145</v>
      </c>
      <c r="Q118" s="2">
        <v>180.2</v>
      </c>
      <c r="R118" s="3">
        <v>3.97</v>
      </c>
      <c r="S118" s="5">
        <v>47298</v>
      </c>
      <c r="T118" s="5">
        <v>45957</v>
      </c>
      <c r="U118" t="s">
        <v>35</v>
      </c>
      <c r="V118" s="6" t="s">
        <v>34</v>
      </c>
      <c r="W118" s="6" t="s">
        <v>37</v>
      </c>
    </row>
    <row r="119" spans="1:24">
      <c r="A119" t="s">
        <v>398</v>
      </c>
      <c r="B119" t="s">
        <v>399</v>
      </c>
      <c r="C119" t="s">
        <v>400</v>
      </c>
      <c r="D119" t="s">
        <v>27</v>
      </c>
      <c r="E119" t="s">
        <v>51</v>
      </c>
      <c r="F119" t="s">
        <v>80</v>
      </c>
      <c r="G119" t="s">
        <v>30</v>
      </c>
      <c r="H119" t="s">
        <v>121</v>
      </c>
      <c r="I119" s="6" t="s">
        <v>32</v>
      </c>
      <c r="J119" s="2">
        <v>305</v>
      </c>
      <c r="K119" s="2">
        <v>305</v>
      </c>
      <c r="L119" s="6" t="s">
        <v>55</v>
      </c>
      <c r="M119" s="6" t="s">
        <v>55</v>
      </c>
      <c r="N119" s="7">
        <v>1</v>
      </c>
      <c r="O119" s="6" t="s">
        <v>34</v>
      </c>
      <c r="P119" s="4">
        <v>55</v>
      </c>
      <c r="Q119" s="2">
        <v>106.8</v>
      </c>
      <c r="R119" s="3">
        <v>1.98</v>
      </c>
      <c r="S119" s="5">
        <v>48510</v>
      </c>
      <c r="T119" s="5">
        <v>45999</v>
      </c>
      <c r="U119" t="s">
        <v>74</v>
      </c>
      <c r="V119" s="6" t="s">
        <v>34</v>
      </c>
      <c r="W119" s="6" t="s">
        <v>57</v>
      </c>
    </row>
    <row r="120" spans="1:24">
      <c r="A120" t="s">
        <v>401</v>
      </c>
      <c r="B120" t="s">
        <v>402</v>
      </c>
      <c r="C120" t="s">
        <v>403</v>
      </c>
      <c r="D120" t="s">
        <v>27</v>
      </c>
      <c r="E120" t="s">
        <v>41</v>
      </c>
      <c r="F120" t="s">
        <v>52</v>
      </c>
      <c r="G120" t="s">
        <v>53</v>
      </c>
      <c r="H120" t="s">
        <v>44</v>
      </c>
      <c r="I120" s="6" t="s">
        <v>32</v>
      </c>
      <c r="J120" s="2">
        <v>275</v>
      </c>
      <c r="K120" s="2">
        <v>274</v>
      </c>
      <c r="L120" s="6" t="s">
        <v>33</v>
      </c>
      <c r="M120" s="6" t="s">
        <v>33</v>
      </c>
      <c r="N120" s="7">
        <v>1</v>
      </c>
      <c r="O120" s="6" t="s">
        <v>34</v>
      </c>
      <c r="P120" s="4">
        <v>115</v>
      </c>
      <c r="Q120" s="2">
        <v>151</v>
      </c>
      <c r="R120" s="3">
        <v>3.43</v>
      </c>
      <c r="S120" s="5">
        <v>46911</v>
      </c>
      <c r="T120" s="5">
        <v>46164</v>
      </c>
      <c r="U120" t="s">
        <v>56</v>
      </c>
      <c r="V120" s="6" t="s">
        <v>34</v>
      </c>
      <c r="W120" s="6" t="s">
        <v>37</v>
      </c>
    </row>
    <row r="121" spans="1:24">
      <c r="A121" t="s">
        <v>404</v>
      </c>
      <c r="B121" t="s">
        <v>405</v>
      </c>
      <c r="C121" t="s">
        <v>406</v>
      </c>
      <c r="D121" t="s">
        <v>27</v>
      </c>
      <c r="E121" t="s">
        <v>62</v>
      </c>
      <c r="F121" t="s">
        <v>188</v>
      </c>
      <c r="G121" t="s">
        <v>30</v>
      </c>
      <c r="H121" t="s">
        <v>112</v>
      </c>
      <c r="I121" s="6" t="s">
        <v>32</v>
      </c>
      <c r="J121" s="2">
        <v>145</v>
      </c>
      <c r="K121" s="2">
        <v>25</v>
      </c>
      <c r="L121" s="6" t="s">
        <v>130</v>
      </c>
      <c r="M121" s="6" t="s">
        <v>130</v>
      </c>
      <c r="N121" s="7">
        <v>2</v>
      </c>
      <c r="O121" s="6" t="s">
        <v>34</v>
      </c>
      <c r="P121" s="4">
        <v>200</v>
      </c>
      <c r="Q121" s="2">
        <v>93.5</v>
      </c>
      <c r="R121" s="3">
        <v>1.48</v>
      </c>
      <c r="S121" s="5">
        <v>46787</v>
      </c>
      <c r="T121" s="5">
        <v>46062</v>
      </c>
      <c r="U121" t="s">
        <v>35</v>
      </c>
      <c r="V121" s="6" t="s">
        <v>34</v>
      </c>
      <c r="W121" s="6" t="s">
        <v>37</v>
      </c>
      <c r="X121" t="s">
        <v>226</v>
      </c>
    </row>
    <row r="122" spans="1:24">
      <c r="A122" t="s">
        <v>407</v>
      </c>
      <c r="B122" t="s">
        <v>408</v>
      </c>
      <c r="C122" t="s">
        <v>409</v>
      </c>
      <c r="D122" t="s">
        <v>50</v>
      </c>
      <c r="E122" t="s">
        <v>161</v>
      </c>
      <c r="F122" t="s">
        <v>188</v>
      </c>
      <c r="G122" t="s">
        <v>30</v>
      </c>
      <c r="H122" t="s">
        <v>44</v>
      </c>
      <c r="I122" s="6" t="s">
        <v>32</v>
      </c>
      <c r="J122" s="2">
        <v>115</v>
      </c>
      <c r="K122" s="2">
        <v>104</v>
      </c>
      <c r="L122" s="6" t="s">
        <v>55</v>
      </c>
      <c r="M122" s="6" t="s">
        <v>55</v>
      </c>
      <c r="N122" s="7">
        <v>1</v>
      </c>
      <c r="O122" s="6" t="s">
        <v>34</v>
      </c>
      <c r="P122" s="4">
        <v>60</v>
      </c>
      <c r="Q122" s="2">
        <v>38.299999999999997</v>
      </c>
      <c r="R122" s="3">
        <v>0.76</v>
      </c>
      <c r="S122" s="5">
        <v>47757</v>
      </c>
      <c r="T122" s="5">
        <v>45975</v>
      </c>
      <c r="U122" t="s">
        <v>74</v>
      </c>
      <c r="V122" s="6" t="s">
        <v>36</v>
      </c>
      <c r="W122" s="6" t="s">
        <v>57</v>
      </c>
      <c r="X122" t="s">
        <v>278</v>
      </c>
    </row>
    <row r="123" spans="1:24">
      <c r="A123" t="s">
        <v>410</v>
      </c>
      <c r="B123" t="s">
        <v>345</v>
      </c>
      <c r="C123" t="s">
        <v>346</v>
      </c>
      <c r="D123" t="s">
        <v>50</v>
      </c>
      <c r="E123" t="s">
        <v>120</v>
      </c>
      <c r="F123" t="s">
        <v>63</v>
      </c>
      <c r="G123" t="s">
        <v>64</v>
      </c>
      <c r="H123" t="s">
        <v>44</v>
      </c>
      <c r="I123" s="6" t="s">
        <v>65</v>
      </c>
      <c r="J123" s="2">
        <v>105</v>
      </c>
      <c r="K123" s="2">
        <v>102</v>
      </c>
      <c r="L123" s="6" t="s">
        <v>33</v>
      </c>
      <c r="M123" s="6" t="s">
        <v>33</v>
      </c>
      <c r="N123" s="7">
        <v>1</v>
      </c>
      <c r="O123" s="6" t="s">
        <v>34</v>
      </c>
      <c r="P123" s="4">
        <v>105</v>
      </c>
      <c r="Q123" s="2">
        <v>56.9</v>
      </c>
      <c r="R123" s="3">
        <v>1.19</v>
      </c>
      <c r="S123" s="5">
        <v>46955</v>
      </c>
      <c r="T123" s="5">
        <v>46135</v>
      </c>
      <c r="U123" t="s">
        <v>66</v>
      </c>
      <c r="V123" s="6" t="s">
        <v>34</v>
      </c>
      <c r="W123" s="6" t="s">
        <v>57</v>
      </c>
    </row>
    <row r="124" spans="1:24">
      <c r="A124" t="s">
        <v>411</v>
      </c>
      <c r="B124" t="s">
        <v>412</v>
      </c>
      <c r="C124" t="s">
        <v>413</v>
      </c>
      <c r="D124" t="s">
        <v>27</v>
      </c>
      <c r="E124" t="s">
        <v>62</v>
      </c>
      <c r="F124" t="s">
        <v>188</v>
      </c>
      <c r="G124" t="s">
        <v>30</v>
      </c>
      <c r="H124" t="s">
        <v>91</v>
      </c>
      <c r="I124" s="6" t="s">
        <v>32</v>
      </c>
      <c r="J124" s="2">
        <v>60</v>
      </c>
      <c r="K124" s="2">
        <v>63</v>
      </c>
      <c r="L124" s="6" t="s">
        <v>33</v>
      </c>
      <c r="M124" s="6" t="s">
        <v>33</v>
      </c>
      <c r="N124" s="7">
        <v>1</v>
      </c>
      <c r="O124" s="6" t="s">
        <v>34</v>
      </c>
      <c r="P124" s="4">
        <v>80</v>
      </c>
      <c r="Q124" s="2">
        <v>22.4</v>
      </c>
      <c r="R124" s="3">
        <v>0.42</v>
      </c>
      <c r="S124" s="5">
        <v>46870</v>
      </c>
      <c r="T124" s="5">
        <v>46251</v>
      </c>
      <c r="U124" t="s">
        <v>74</v>
      </c>
      <c r="V124" s="6" t="s">
        <v>36</v>
      </c>
      <c r="W124" s="6" t="s">
        <v>75</v>
      </c>
      <c r="X124" t="s">
        <v>278</v>
      </c>
    </row>
    <row r="125" spans="1:24">
      <c r="A125" t="s">
        <v>354</v>
      </c>
      <c r="B125" t="s">
        <v>254</v>
      </c>
      <c r="C125" t="s">
        <v>255</v>
      </c>
      <c r="D125" t="s">
        <v>27</v>
      </c>
      <c r="E125" t="s">
        <v>154</v>
      </c>
      <c r="F125" t="s">
        <v>52</v>
      </c>
      <c r="G125" t="s">
        <v>53</v>
      </c>
      <c r="H125" t="s">
        <v>112</v>
      </c>
      <c r="I125" s="6" t="s">
        <v>32</v>
      </c>
      <c r="J125" s="2">
        <v>130</v>
      </c>
      <c r="K125" s="2">
        <v>21</v>
      </c>
      <c r="L125" s="6" t="s">
        <v>92</v>
      </c>
      <c r="M125" s="6" t="s">
        <v>92</v>
      </c>
      <c r="N125" s="7">
        <v>1</v>
      </c>
      <c r="O125" s="6" t="s">
        <v>34</v>
      </c>
      <c r="P125" s="4">
        <v>85</v>
      </c>
      <c r="Q125" s="2">
        <v>34</v>
      </c>
      <c r="R125" s="3">
        <v>0.63</v>
      </c>
      <c r="S125" s="5">
        <v>48111</v>
      </c>
      <c r="T125" s="5">
        <v>46229</v>
      </c>
      <c r="U125" t="s">
        <v>56</v>
      </c>
      <c r="V125" s="6" t="s">
        <v>34</v>
      </c>
      <c r="W125" s="6" t="s">
        <v>75</v>
      </c>
      <c r="X125" t="s">
        <v>93</v>
      </c>
    </row>
    <row r="126" spans="1:24">
      <c r="A126" t="s">
        <v>414</v>
      </c>
      <c r="B126" t="s">
        <v>339</v>
      </c>
      <c r="C126" t="s">
        <v>340</v>
      </c>
      <c r="D126" t="s">
        <v>27</v>
      </c>
      <c r="E126" t="s">
        <v>150</v>
      </c>
      <c r="F126" t="s">
        <v>42</v>
      </c>
      <c r="G126" t="s">
        <v>43</v>
      </c>
      <c r="H126" t="s">
        <v>112</v>
      </c>
      <c r="I126" s="6" t="s">
        <v>32</v>
      </c>
      <c r="J126" s="2">
        <v>50</v>
      </c>
      <c r="K126" s="2">
        <v>20</v>
      </c>
      <c r="L126" s="6" t="s">
        <v>33</v>
      </c>
      <c r="M126" s="6" t="s">
        <v>33</v>
      </c>
      <c r="N126" s="7">
        <v>1</v>
      </c>
      <c r="O126" s="6" t="s">
        <v>34</v>
      </c>
      <c r="P126" s="4">
        <v>100</v>
      </c>
      <c r="Q126" s="2">
        <v>19.2</v>
      </c>
      <c r="R126" s="3">
        <v>0.35</v>
      </c>
      <c r="S126" s="5">
        <v>46792</v>
      </c>
      <c r="T126" s="5">
        <v>46215</v>
      </c>
      <c r="U126" t="s">
        <v>46</v>
      </c>
      <c r="V126" s="6" t="s">
        <v>34</v>
      </c>
      <c r="W126" s="6" t="s">
        <v>75</v>
      </c>
    </row>
    <row r="127" spans="1:24">
      <c r="A127" t="s">
        <v>415</v>
      </c>
      <c r="B127" t="s">
        <v>416</v>
      </c>
      <c r="C127" t="s">
        <v>417</v>
      </c>
      <c r="D127" t="s">
        <v>50</v>
      </c>
      <c r="E127" t="s">
        <v>71</v>
      </c>
      <c r="F127" t="s">
        <v>105</v>
      </c>
      <c r="G127" t="s">
        <v>106</v>
      </c>
      <c r="H127" t="s">
        <v>44</v>
      </c>
      <c r="I127" s="6" t="s">
        <v>107</v>
      </c>
      <c r="J127" s="2">
        <v>100</v>
      </c>
      <c r="K127" s="2">
        <v>91</v>
      </c>
      <c r="L127" s="6" t="s">
        <v>92</v>
      </c>
      <c r="M127" s="6" t="s">
        <v>92</v>
      </c>
      <c r="N127" s="7">
        <v>1</v>
      </c>
      <c r="O127" s="6" t="s">
        <v>34</v>
      </c>
      <c r="P127" s="4">
        <v>65</v>
      </c>
      <c r="Q127" s="2">
        <v>43</v>
      </c>
      <c r="R127" s="3">
        <v>0.71</v>
      </c>
      <c r="S127" s="5">
        <v>47379</v>
      </c>
      <c r="T127" s="5">
        <v>46252</v>
      </c>
      <c r="U127" t="s">
        <v>113</v>
      </c>
      <c r="V127" s="6" t="s">
        <v>34</v>
      </c>
      <c r="W127" s="6" t="s">
        <v>75</v>
      </c>
    </row>
    <row r="128" spans="1:24">
      <c r="A128" t="s">
        <v>418</v>
      </c>
      <c r="B128" t="s">
        <v>152</v>
      </c>
      <c r="C128" t="s">
        <v>153</v>
      </c>
      <c r="D128" t="s">
        <v>50</v>
      </c>
      <c r="E128" t="s">
        <v>154</v>
      </c>
      <c r="F128" t="s">
        <v>105</v>
      </c>
      <c r="G128" t="s">
        <v>106</v>
      </c>
      <c r="H128" t="s">
        <v>44</v>
      </c>
      <c r="I128" s="6" t="s">
        <v>107</v>
      </c>
      <c r="J128" s="2">
        <v>325</v>
      </c>
      <c r="K128" s="2">
        <v>305</v>
      </c>
      <c r="L128" s="6" t="s">
        <v>92</v>
      </c>
      <c r="M128" s="6" t="s">
        <v>92</v>
      </c>
      <c r="N128" s="7">
        <v>1</v>
      </c>
      <c r="O128" s="6" t="s">
        <v>34</v>
      </c>
      <c r="P128" s="4">
        <v>75</v>
      </c>
      <c r="Q128" s="2">
        <v>141.80000000000001</v>
      </c>
      <c r="R128" s="3">
        <v>2.67</v>
      </c>
      <c r="S128" s="5">
        <v>48007</v>
      </c>
      <c r="T128" s="5">
        <v>46275</v>
      </c>
      <c r="U128" t="s">
        <v>113</v>
      </c>
      <c r="V128" s="6" t="s">
        <v>34</v>
      </c>
      <c r="W128" s="6" t="s">
        <v>37</v>
      </c>
    </row>
    <row r="129" spans="1:24">
      <c r="A129" t="s">
        <v>419</v>
      </c>
      <c r="B129" t="s">
        <v>420</v>
      </c>
      <c r="C129" t="s">
        <v>421</v>
      </c>
      <c r="D129" t="s">
        <v>50</v>
      </c>
      <c r="E129" t="s">
        <v>28</v>
      </c>
      <c r="F129" t="s">
        <v>188</v>
      </c>
      <c r="G129" t="s">
        <v>30</v>
      </c>
      <c r="H129" t="s">
        <v>31</v>
      </c>
      <c r="I129" s="6" t="s">
        <v>32</v>
      </c>
      <c r="J129" s="2">
        <v>310</v>
      </c>
      <c r="K129" s="2">
        <v>277</v>
      </c>
      <c r="L129" s="6" t="s">
        <v>54</v>
      </c>
      <c r="M129" s="6" t="s">
        <v>54</v>
      </c>
      <c r="N129" s="7">
        <v>1</v>
      </c>
      <c r="O129" s="6" t="s">
        <v>34</v>
      </c>
      <c r="P129" s="4">
        <v>85</v>
      </c>
      <c r="Q129" s="2">
        <v>117.4</v>
      </c>
      <c r="R129" s="3">
        <v>2.76</v>
      </c>
      <c r="S129" s="5">
        <v>50416</v>
      </c>
      <c r="T129" s="5">
        <v>46199</v>
      </c>
      <c r="U129" t="s">
        <v>35</v>
      </c>
      <c r="V129" s="6" t="s">
        <v>34</v>
      </c>
      <c r="W129" s="6" t="s">
        <v>75</v>
      </c>
    </row>
    <row r="130" spans="1:24">
      <c r="A130" t="s">
        <v>422</v>
      </c>
      <c r="B130" t="s">
        <v>423</v>
      </c>
      <c r="C130" t="s">
        <v>424</v>
      </c>
      <c r="D130" t="s">
        <v>50</v>
      </c>
      <c r="E130" t="s">
        <v>120</v>
      </c>
      <c r="F130" t="s">
        <v>188</v>
      </c>
      <c r="G130" t="s">
        <v>30</v>
      </c>
      <c r="H130" t="s">
        <v>112</v>
      </c>
      <c r="I130" s="6" t="s">
        <v>32</v>
      </c>
      <c r="J130" s="2">
        <v>210</v>
      </c>
      <c r="K130" s="2">
        <v>87</v>
      </c>
      <c r="L130" s="6" t="s">
        <v>73</v>
      </c>
      <c r="M130" s="6" t="s">
        <v>33</v>
      </c>
      <c r="N130" s="7">
        <v>1</v>
      </c>
      <c r="O130" s="6" t="s">
        <v>34</v>
      </c>
      <c r="P130" s="4">
        <v>100</v>
      </c>
      <c r="Q130" s="2">
        <v>103.9</v>
      </c>
      <c r="R130" s="3">
        <v>1.51</v>
      </c>
      <c r="S130" s="5">
        <v>47751</v>
      </c>
      <c r="T130" s="5">
        <v>45961</v>
      </c>
      <c r="U130" t="s">
        <v>74</v>
      </c>
      <c r="V130" s="6" t="s">
        <v>34</v>
      </c>
      <c r="W130" s="6" t="s">
        <v>75</v>
      </c>
      <c r="X130" t="s">
        <v>259</v>
      </c>
    </row>
    <row r="131" spans="1:24">
      <c r="A131" t="s">
        <v>425</v>
      </c>
      <c r="B131" t="s">
        <v>228</v>
      </c>
      <c r="C131" t="s">
        <v>229</v>
      </c>
      <c r="D131" t="s">
        <v>27</v>
      </c>
      <c r="E131" t="s">
        <v>154</v>
      </c>
      <c r="F131" t="s">
        <v>42</v>
      </c>
      <c r="G131" t="s">
        <v>43</v>
      </c>
      <c r="H131" t="s">
        <v>44</v>
      </c>
      <c r="I131" s="6" t="s">
        <v>32</v>
      </c>
      <c r="J131" s="2">
        <v>250</v>
      </c>
      <c r="K131" s="2">
        <v>228</v>
      </c>
      <c r="L131" s="6" t="s">
        <v>55</v>
      </c>
      <c r="M131" s="6" t="s">
        <v>55</v>
      </c>
      <c r="N131" s="7">
        <v>1</v>
      </c>
      <c r="O131" s="6" t="s">
        <v>34</v>
      </c>
      <c r="P131" s="4">
        <v>70</v>
      </c>
      <c r="Q131" s="2">
        <v>83.6</v>
      </c>
      <c r="R131" s="3">
        <v>1.9</v>
      </c>
      <c r="S131" s="5">
        <v>48055</v>
      </c>
      <c r="T131" s="5">
        <v>46118</v>
      </c>
      <c r="U131" t="s">
        <v>35</v>
      </c>
      <c r="V131" s="6" t="s">
        <v>34</v>
      </c>
      <c r="W131" s="6" t="s">
        <v>75</v>
      </c>
    </row>
    <row r="132" spans="1:24">
      <c r="A132" t="s">
        <v>426</v>
      </c>
      <c r="B132" t="s">
        <v>194</v>
      </c>
      <c r="C132" t="s">
        <v>195</v>
      </c>
      <c r="D132" t="s">
        <v>27</v>
      </c>
      <c r="E132" t="s">
        <v>62</v>
      </c>
      <c r="F132" t="s">
        <v>29</v>
      </c>
      <c r="G132" t="s">
        <v>30</v>
      </c>
      <c r="H132" t="s">
        <v>91</v>
      </c>
      <c r="I132" s="6" t="s">
        <v>32</v>
      </c>
      <c r="J132" s="2">
        <v>235</v>
      </c>
      <c r="K132" s="2">
        <v>176</v>
      </c>
      <c r="L132" s="6" t="s">
        <v>55</v>
      </c>
      <c r="M132" s="6" t="s">
        <v>55</v>
      </c>
      <c r="N132" s="7">
        <v>1</v>
      </c>
      <c r="O132" s="6" t="s">
        <v>34</v>
      </c>
      <c r="P132" s="4">
        <v>55</v>
      </c>
      <c r="Q132" s="2">
        <v>65.7</v>
      </c>
      <c r="R132" s="3">
        <v>1.32</v>
      </c>
      <c r="S132" s="5">
        <v>48035</v>
      </c>
      <c r="T132" s="5">
        <v>46020</v>
      </c>
      <c r="U132" t="s">
        <v>35</v>
      </c>
      <c r="V132" s="6" t="s">
        <v>34</v>
      </c>
      <c r="W132" s="6" t="s">
        <v>37</v>
      </c>
    </row>
    <row r="133" spans="1:24">
      <c r="A133" t="s">
        <v>427</v>
      </c>
      <c r="B133" t="s">
        <v>428</v>
      </c>
      <c r="C133" t="s">
        <v>429</v>
      </c>
      <c r="D133" t="s">
        <v>27</v>
      </c>
      <c r="E133" t="s">
        <v>51</v>
      </c>
      <c r="F133" t="s">
        <v>105</v>
      </c>
      <c r="G133" t="s">
        <v>106</v>
      </c>
      <c r="H133" t="s">
        <v>44</v>
      </c>
      <c r="I133" s="6" t="s">
        <v>32</v>
      </c>
      <c r="J133" s="2">
        <v>175</v>
      </c>
      <c r="K133" s="2">
        <v>170</v>
      </c>
      <c r="L133" s="6" t="s">
        <v>92</v>
      </c>
      <c r="M133" s="6" t="s">
        <v>92</v>
      </c>
      <c r="N133" s="7">
        <v>1</v>
      </c>
      <c r="O133" s="6" t="s">
        <v>34</v>
      </c>
      <c r="P133" s="4">
        <v>90</v>
      </c>
      <c r="Q133" s="2">
        <v>77.599999999999994</v>
      </c>
      <c r="R133" s="3">
        <v>1.72</v>
      </c>
      <c r="S133" s="5">
        <v>48045</v>
      </c>
      <c r="T133" s="5">
        <v>46146</v>
      </c>
      <c r="U133" t="s">
        <v>113</v>
      </c>
      <c r="V133" s="6" t="s">
        <v>34</v>
      </c>
      <c r="W133" s="6" t="s">
        <v>75</v>
      </c>
    </row>
    <row r="134" spans="1:24">
      <c r="A134" t="s">
        <v>430</v>
      </c>
      <c r="B134" t="s">
        <v>261</v>
      </c>
      <c r="C134" t="s">
        <v>262</v>
      </c>
      <c r="D134" t="s">
        <v>50</v>
      </c>
      <c r="E134" t="s">
        <v>97</v>
      </c>
      <c r="F134" t="s">
        <v>84</v>
      </c>
      <c r="G134" t="s">
        <v>85</v>
      </c>
      <c r="H134" t="s">
        <v>44</v>
      </c>
      <c r="I134" s="6" t="s">
        <v>32</v>
      </c>
      <c r="J134" s="2">
        <v>65</v>
      </c>
      <c r="K134" s="2">
        <v>62</v>
      </c>
      <c r="L134" s="6" t="s">
        <v>33</v>
      </c>
      <c r="M134" s="6" t="s">
        <v>33</v>
      </c>
      <c r="N134" s="7">
        <v>1</v>
      </c>
      <c r="O134" s="6" t="s">
        <v>34</v>
      </c>
      <c r="P134" s="4">
        <v>95</v>
      </c>
      <c r="Q134" s="2">
        <v>34.9</v>
      </c>
      <c r="R134" s="3">
        <v>0.66</v>
      </c>
      <c r="S134" s="5">
        <v>46945</v>
      </c>
      <c r="T134" s="5">
        <v>45990</v>
      </c>
      <c r="U134" t="s">
        <v>86</v>
      </c>
      <c r="V134" s="6" t="s">
        <v>36</v>
      </c>
      <c r="W134" s="6" t="s">
        <v>75</v>
      </c>
    </row>
    <row r="135" spans="1:24">
      <c r="A135" t="s">
        <v>431</v>
      </c>
      <c r="B135" t="s">
        <v>280</v>
      </c>
      <c r="C135" t="s">
        <v>281</v>
      </c>
      <c r="D135" t="s">
        <v>27</v>
      </c>
      <c r="E135" t="s">
        <v>97</v>
      </c>
      <c r="F135" t="s">
        <v>80</v>
      </c>
      <c r="G135" t="s">
        <v>30</v>
      </c>
      <c r="H135" t="s">
        <v>112</v>
      </c>
      <c r="I135" s="6" t="s">
        <v>32</v>
      </c>
      <c r="J135" s="2">
        <v>225</v>
      </c>
      <c r="K135" s="2">
        <v>62</v>
      </c>
      <c r="L135" s="6" t="s">
        <v>55</v>
      </c>
      <c r="M135" s="6" t="s">
        <v>55</v>
      </c>
      <c r="N135" s="7">
        <v>1</v>
      </c>
      <c r="O135" s="6" t="s">
        <v>34</v>
      </c>
      <c r="P135" s="4">
        <v>60</v>
      </c>
      <c r="Q135" s="2">
        <v>50.2</v>
      </c>
      <c r="R135" s="3">
        <v>0.94</v>
      </c>
      <c r="S135" s="5">
        <v>47758</v>
      </c>
      <c r="T135" s="5">
        <v>45943</v>
      </c>
      <c r="U135" t="s">
        <v>74</v>
      </c>
      <c r="V135" s="6" t="s">
        <v>34</v>
      </c>
      <c r="W135" s="6" t="s">
        <v>37</v>
      </c>
    </row>
    <row r="136" spans="1:24">
      <c r="A136" t="s">
        <v>432</v>
      </c>
      <c r="B136" t="s">
        <v>433</v>
      </c>
      <c r="C136" t="s">
        <v>434</v>
      </c>
      <c r="D136" t="s">
        <v>27</v>
      </c>
      <c r="E136" t="s">
        <v>154</v>
      </c>
      <c r="F136" t="s">
        <v>29</v>
      </c>
      <c r="G136" t="s">
        <v>30</v>
      </c>
      <c r="H136" t="s">
        <v>112</v>
      </c>
      <c r="I136" s="6" t="s">
        <v>32</v>
      </c>
      <c r="J136" s="2">
        <v>290</v>
      </c>
      <c r="K136" s="2">
        <v>123</v>
      </c>
      <c r="L136" s="6" t="s">
        <v>55</v>
      </c>
      <c r="M136" s="6" t="s">
        <v>55</v>
      </c>
      <c r="N136" s="7">
        <v>1</v>
      </c>
      <c r="O136" s="6" t="s">
        <v>34</v>
      </c>
      <c r="P136" s="4">
        <v>55</v>
      </c>
      <c r="Q136" s="2">
        <v>72.3</v>
      </c>
      <c r="R136" s="3">
        <v>1.29</v>
      </c>
      <c r="S136" s="5">
        <v>47660</v>
      </c>
      <c r="T136" s="5">
        <v>46247</v>
      </c>
      <c r="U136" t="s">
        <v>35</v>
      </c>
      <c r="V136" s="6" t="s">
        <v>34</v>
      </c>
      <c r="W136" s="6" t="s">
        <v>75</v>
      </c>
    </row>
    <row r="137" spans="1:24">
      <c r="A137" t="s">
        <v>435</v>
      </c>
      <c r="B137" t="s">
        <v>436</v>
      </c>
      <c r="C137" t="s">
        <v>437</v>
      </c>
      <c r="D137" t="s">
        <v>50</v>
      </c>
      <c r="E137" t="s">
        <v>62</v>
      </c>
      <c r="F137" t="s">
        <v>105</v>
      </c>
      <c r="G137" t="s">
        <v>106</v>
      </c>
      <c r="H137" t="s">
        <v>91</v>
      </c>
      <c r="I137" s="6" t="s">
        <v>32</v>
      </c>
      <c r="J137" s="2">
        <v>120</v>
      </c>
      <c r="K137" s="2">
        <v>91</v>
      </c>
      <c r="L137" s="6" t="s">
        <v>92</v>
      </c>
      <c r="M137" s="6" t="s">
        <v>92</v>
      </c>
      <c r="N137" s="7">
        <v>1</v>
      </c>
      <c r="O137" s="6" t="s">
        <v>34</v>
      </c>
      <c r="P137" s="4">
        <v>50</v>
      </c>
      <c r="Q137" s="2">
        <v>43.6</v>
      </c>
      <c r="R137" s="3">
        <v>0.63</v>
      </c>
      <c r="S137" s="5">
        <v>48331</v>
      </c>
      <c r="T137" s="5">
        <v>46270</v>
      </c>
      <c r="U137" t="s">
        <v>113</v>
      </c>
      <c r="V137" s="6" t="s">
        <v>34</v>
      </c>
      <c r="W137" s="6" t="s">
        <v>37</v>
      </c>
      <c r="X137" t="s">
        <v>93</v>
      </c>
    </row>
    <row r="138" spans="1:24">
      <c r="A138" t="s">
        <v>438</v>
      </c>
      <c r="B138" t="s">
        <v>439</v>
      </c>
      <c r="C138" t="s">
        <v>381</v>
      </c>
      <c r="D138" t="s">
        <v>50</v>
      </c>
      <c r="E138" t="s">
        <v>97</v>
      </c>
      <c r="F138" t="s">
        <v>42</v>
      </c>
      <c r="G138" t="s">
        <v>43</v>
      </c>
      <c r="H138" t="s">
        <v>112</v>
      </c>
      <c r="I138" s="6" t="s">
        <v>32</v>
      </c>
      <c r="J138" s="2">
        <v>150</v>
      </c>
      <c r="K138" s="2">
        <v>45</v>
      </c>
      <c r="L138" s="6" t="s">
        <v>33</v>
      </c>
      <c r="M138" s="6" t="s">
        <v>33</v>
      </c>
      <c r="N138" s="7">
        <v>1</v>
      </c>
      <c r="O138" s="6" t="s">
        <v>34</v>
      </c>
      <c r="P138" s="4">
        <v>85</v>
      </c>
      <c r="Q138" s="2">
        <v>53.6</v>
      </c>
      <c r="R138" s="3">
        <v>0.84</v>
      </c>
      <c r="S138" s="5">
        <v>47299</v>
      </c>
      <c r="T138" s="5">
        <v>46097</v>
      </c>
      <c r="U138" t="s">
        <v>108</v>
      </c>
      <c r="V138" s="6" t="s">
        <v>34</v>
      </c>
      <c r="W138" s="6" t="s">
        <v>75</v>
      </c>
      <c r="X138" t="s">
        <v>440</v>
      </c>
    </row>
    <row r="139" spans="1:24">
      <c r="A139" t="s">
        <v>441</v>
      </c>
      <c r="B139" t="s">
        <v>387</v>
      </c>
      <c r="C139" t="s">
        <v>388</v>
      </c>
      <c r="D139" t="s">
        <v>27</v>
      </c>
      <c r="E139" t="s">
        <v>28</v>
      </c>
      <c r="F139" t="s">
        <v>105</v>
      </c>
      <c r="G139" t="s">
        <v>106</v>
      </c>
      <c r="H139" t="s">
        <v>31</v>
      </c>
      <c r="I139" s="6" t="s">
        <v>32</v>
      </c>
      <c r="J139" s="2">
        <v>215</v>
      </c>
      <c r="K139" s="2">
        <v>213</v>
      </c>
      <c r="L139" s="6" t="s">
        <v>33</v>
      </c>
      <c r="M139" s="6" t="s">
        <v>33</v>
      </c>
      <c r="N139" s="7">
        <v>1</v>
      </c>
      <c r="O139" s="6" t="s">
        <v>34</v>
      </c>
      <c r="P139" s="4">
        <v>135</v>
      </c>
      <c r="Q139" s="2">
        <v>139.1</v>
      </c>
      <c r="R139" s="3">
        <v>3.1</v>
      </c>
      <c r="S139" s="5">
        <v>50742</v>
      </c>
      <c r="T139" s="5">
        <v>45820</v>
      </c>
      <c r="U139" t="s">
        <v>108</v>
      </c>
      <c r="V139" s="6" t="s">
        <v>36</v>
      </c>
      <c r="W139" s="6" t="s">
        <v>75</v>
      </c>
      <c r="X139" t="s">
        <v>67</v>
      </c>
    </row>
    <row r="140" spans="1:24">
      <c r="A140" t="s">
        <v>442</v>
      </c>
      <c r="B140" t="s">
        <v>443</v>
      </c>
      <c r="C140" t="s">
        <v>444</v>
      </c>
      <c r="D140" t="s">
        <v>27</v>
      </c>
      <c r="E140" t="s">
        <v>161</v>
      </c>
      <c r="F140" t="s">
        <v>105</v>
      </c>
      <c r="G140" t="s">
        <v>106</v>
      </c>
      <c r="H140" t="s">
        <v>44</v>
      </c>
      <c r="I140" s="6" t="s">
        <v>107</v>
      </c>
      <c r="J140" s="2">
        <v>125</v>
      </c>
      <c r="K140" s="2">
        <v>124</v>
      </c>
      <c r="L140" s="6" t="s">
        <v>54</v>
      </c>
      <c r="M140" s="6" t="s">
        <v>54</v>
      </c>
      <c r="N140" s="7">
        <v>1</v>
      </c>
      <c r="O140" s="6" t="s">
        <v>34</v>
      </c>
      <c r="P140" s="4">
        <v>65</v>
      </c>
      <c r="Q140" s="2">
        <v>37.4</v>
      </c>
      <c r="R140" s="3">
        <v>0.93</v>
      </c>
      <c r="S140" s="5">
        <v>47073</v>
      </c>
      <c r="T140" s="5">
        <v>46206</v>
      </c>
      <c r="U140" t="s">
        <v>108</v>
      </c>
      <c r="V140" s="6" t="s">
        <v>36</v>
      </c>
      <c r="W140" s="6" t="s">
        <v>75</v>
      </c>
    </row>
    <row r="141" spans="1:24">
      <c r="A141" t="s">
        <v>445</v>
      </c>
      <c r="B141" t="s">
        <v>436</v>
      </c>
      <c r="C141" t="s">
        <v>437</v>
      </c>
      <c r="D141" t="s">
        <v>50</v>
      </c>
      <c r="E141" t="s">
        <v>62</v>
      </c>
      <c r="F141" t="s">
        <v>105</v>
      </c>
      <c r="G141" t="s">
        <v>106</v>
      </c>
      <c r="H141" t="s">
        <v>91</v>
      </c>
      <c r="I141" s="6" t="s">
        <v>107</v>
      </c>
      <c r="J141" s="2">
        <v>250</v>
      </c>
      <c r="K141" s="2">
        <v>147</v>
      </c>
      <c r="L141" s="6"/>
      <c r="M141" s="6" t="s">
        <v>92</v>
      </c>
      <c r="N141" s="7">
        <v>1</v>
      </c>
      <c r="O141" s="6" t="s">
        <v>34</v>
      </c>
      <c r="P141" s="4">
        <v>40</v>
      </c>
      <c r="Q141" s="2">
        <v>75.400000000000006</v>
      </c>
      <c r="R141" s="3">
        <v>0.98</v>
      </c>
      <c r="S141" s="5">
        <v>48530</v>
      </c>
      <c r="T141" s="5">
        <v>46270</v>
      </c>
      <c r="U141" t="s">
        <v>108</v>
      </c>
      <c r="V141" s="6" t="s">
        <v>34</v>
      </c>
      <c r="W141" s="6" t="s">
        <v>37</v>
      </c>
    </row>
    <row r="142" spans="1:24">
      <c r="A142" t="s">
        <v>446</v>
      </c>
      <c r="B142" t="s">
        <v>447</v>
      </c>
      <c r="C142" t="s">
        <v>448</v>
      </c>
      <c r="D142" t="s">
        <v>50</v>
      </c>
      <c r="E142" t="s">
        <v>28</v>
      </c>
      <c r="F142" t="s">
        <v>52</v>
      </c>
      <c r="G142" t="s">
        <v>53</v>
      </c>
      <c r="H142" t="s">
        <v>31</v>
      </c>
      <c r="I142" s="6" t="s">
        <v>32</v>
      </c>
      <c r="J142" s="2">
        <v>210</v>
      </c>
      <c r="K142" s="2">
        <v>196</v>
      </c>
      <c r="L142" s="6" t="s">
        <v>73</v>
      </c>
      <c r="M142" s="6" t="s">
        <v>73</v>
      </c>
      <c r="N142" s="7">
        <v>1</v>
      </c>
      <c r="O142" s="6" t="s">
        <v>34</v>
      </c>
      <c r="P142" s="4">
        <v>140</v>
      </c>
      <c r="Q142" s="2">
        <v>162.4</v>
      </c>
      <c r="R142" s="3">
        <v>3.02</v>
      </c>
      <c r="S142" s="5">
        <v>49142</v>
      </c>
      <c r="T142" s="5">
        <v>46172</v>
      </c>
      <c r="U142" t="s">
        <v>56</v>
      </c>
      <c r="V142" s="6" t="s">
        <v>36</v>
      </c>
      <c r="W142" s="6" t="s">
        <v>37</v>
      </c>
      <c r="X142" t="s">
        <v>278</v>
      </c>
    </row>
    <row r="143" spans="1:24">
      <c r="A143" t="s">
        <v>449</v>
      </c>
      <c r="B143" t="s">
        <v>450</v>
      </c>
      <c r="C143" t="s">
        <v>451</v>
      </c>
      <c r="D143" t="s">
        <v>27</v>
      </c>
      <c r="E143" t="s">
        <v>51</v>
      </c>
      <c r="F143" t="s">
        <v>98</v>
      </c>
      <c r="G143" t="s">
        <v>99</v>
      </c>
      <c r="H143" t="s">
        <v>121</v>
      </c>
      <c r="I143" s="6" t="s">
        <v>32</v>
      </c>
      <c r="J143" s="2">
        <v>230</v>
      </c>
      <c r="K143" s="2">
        <v>230</v>
      </c>
      <c r="L143" s="6" t="s">
        <v>54</v>
      </c>
      <c r="M143" s="6" t="s">
        <v>54</v>
      </c>
      <c r="N143" s="7">
        <v>1</v>
      </c>
      <c r="O143" s="6" t="s">
        <v>34</v>
      </c>
      <c r="P143" s="4">
        <v>45</v>
      </c>
      <c r="Q143" s="2">
        <v>69</v>
      </c>
      <c r="R143" s="3">
        <v>1.26</v>
      </c>
      <c r="S143" s="5">
        <v>47716</v>
      </c>
      <c r="T143" s="5">
        <v>46138</v>
      </c>
      <c r="U143" t="s">
        <v>100</v>
      </c>
      <c r="V143" s="6" t="s">
        <v>34</v>
      </c>
      <c r="W143" s="6" t="s">
        <v>37</v>
      </c>
    </row>
    <row r="144" spans="1:24">
      <c r="A144" t="s">
        <v>452</v>
      </c>
      <c r="B144" t="s">
        <v>453</v>
      </c>
      <c r="C144" t="s">
        <v>454</v>
      </c>
      <c r="D144" t="s">
        <v>50</v>
      </c>
      <c r="E144" t="s">
        <v>71</v>
      </c>
      <c r="F144" t="s">
        <v>52</v>
      </c>
      <c r="G144" t="s">
        <v>53</v>
      </c>
      <c r="H144" t="s">
        <v>91</v>
      </c>
      <c r="I144" s="6" t="s">
        <v>32</v>
      </c>
      <c r="J144" s="2">
        <v>125</v>
      </c>
      <c r="K144" s="2">
        <v>60</v>
      </c>
      <c r="L144" s="6" t="s">
        <v>55</v>
      </c>
      <c r="M144" s="6" t="s">
        <v>55</v>
      </c>
      <c r="N144" s="7">
        <v>1</v>
      </c>
      <c r="O144" s="6" t="s">
        <v>34</v>
      </c>
      <c r="P144" s="4">
        <v>40</v>
      </c>
      <c r="Q144" s="2">
        <v>25.5</v>
      </c>
      <c r="R144" s="3">
        <v>0.46</v>
      </c>
      <c r="S144" s="5">
        <v>47843</v>
      </c>
      <c r="T144" s="5">
        <v>45957</v>
      </c>
      <c r="U144" t="s">
        <v>56</v>
      </c>
      <c r="V144" s="6" t="s">
        <v>34</v>
      </c>
      <c r="W144" s="6" t="s">
        <v>57</v>
      </c>
    </row>
    <row r="145" spans="1:24">
      <c r="A145" t="s">
        <v>455</v>
      </c>
      <c r="B145" t="s">
        <v>174</v>
      </c>
      <c r="C145" t="s">
        <v>175</v>
      </c>
      <c r="D145" t="s">
        <v>50</v>
      </c>
      <c r="E145" t="s">
        <v>90</v>
      </c>
      <c r="F145" t="s">
        <v>129</v>
      </c>
      <c r="G145" t="s">
        <v>64</v>
      </c>
      <c r="H145" t="s">
        <v>44</v>
      </c>
      <c r="I145" s="6" t="s">
        <v>65</v>
      </c>
      <c r="J145" s="2">
        <v>370</v>
      </c>
      <c r="K145" s="2">
        <v>350</v>
      </c>
      <c r="L145" s="6" t="s">
        <v>33</v>
      </c>
      <c r="M145" s="6" t="s">
        <v>92</v>
      </c>
      <c r="N145" s="7">
        <v>1</v>
      </c>
      <c r="O145" s="6" t="s">
        <v>34</v>
      </c>
      <c r="P145" s="4">
        <v>100</v>
      </c>
      <c r="Q145" s="2">
        <v>198</v>
      </c>
      <c r="R145" s="3">
        <v>3.94</v>
      </c>
      <c r="S145" s="5">
        <v>47902</v>
      </c>
      <c r="T145" s="5">
        <v>46267</v>
      </c>
      <c r="U145" t="s">
        <v>66</v>
      </c>
      <c r="V145" s="6" t="s">
        <v>34</v>
      </c>
      <c r="W145" s="6" t="s">
        <v>37</v>
      </c>
      <c r="X145" t="s">
        <v>176</v>
      </c>
    </row>
    <row r="146" spans="1:24">
      <c r="A146" t="s">
        <v>456</v>
      </c>
      <c r="B146" t="s">
        <v>457</v>
      </c>
      <c r="C146" t="s">
        <v>458</v>
      </c>
      <c r="D146" t="s">
        <v>27</v>
      </c>
      <c r="E146" t="s">
        <v>62</v>
      </c>
      <c r="F146" t="s">
        <v>29</v>
      </c>
      <c r="G146" t="s">
        <v>30</v>
      </c>
      <c r="H146" t="s">
        <v>91</v>
      </c>
      <c r="I146" s="6" t="s">
        <v>32</v>
      </c>
      <c r="J146" s="2">
        <v>170</v>
      </c>
      <c r="K146" s="2">
        <v>106</v>
      </c>
      <c r="L146" s="6" t="s">
        <v>459</v>
      </c>
      <c r="M146" s="6" t="s">
        <v>130</v>
      </c>
      <c r="N146" s="7">
        <v>2</v>
      </c>
      <c r="O146" s="6" t="s">
        <v>36</v>
      </c>
      <c r="P146" s="4">
        <v>230</v>
      </c>
      <c r="Q146" s="2">
        <v>154.4</v>
      </c>
      <c r="R146" s="3">
        <v>3.12</v>
      </c>
      <c r="S146" s="5">
        <v>48482</v>
      </c>
      <c r="T146" s="5">
        <v>46108</v>
      </c>
      <c r="U146" t="s">
        <v>74</v>
      </c>
      <c r="V146" s="6" t="s">
        <v>34</v>
      </c>
      <c r="W146" s="6" t="s">
        <v>75</v>
      </c>
      <c r="X146" t="s">
        <v>460</v>
      </c>
    </row>
    <row r="147" spans="1:24">
      <c r="A147" t="s">
        <v>461</v>
      </c>
      <c r="B147" t="s">
        <v>462</v>
      </c>
      <c r="C147" t="s">
        <v>463</v>
      </c>
      <c r="D147" t="s">
        <v>50</v>
      </c>
      <c r="E147" t="s">
        <v>120</v>
      </c>
      <c r="F147" t="s">
        <v>42</v>
      </c>
      <c r="G147" t="s">
        <v>43</v>
      </c>
      <c r="H147" t="s">
        <v>112</v>
      </c>
      <c r="I147" s="6" t="s">
        <v>32</v>
      </c>
      <c r="J147" s="2">
        <v>250</v>
      </c>
      <c r="K147" s="2">
        <v>79</v>
      </c>
      <c r="L147" s="6" t="s">
        <v>73</v>
      </c>
      <c r="M147" s="6" t="s">
        <v>73</v>
      </c>
      <c r="N147" s="7">
        <v>1</v>
      </c>
      <c r="O147" s="6" t="s">
        <v>34</v>
      </c>
      <c r="P147" s="4">
        <v>115</v>
      </c>
      <c r="Q147" s="2">
        <v>115.1</v>
      </c>
      <c r="R147" s="3">
        <v>1.85</v>
      </c>
      <c r="S147" s="5">
        <v>46955</v>
      </c>
      <c r="T147" s="5">
        <v>46028</v>
      </c>
      <c r="U147" t="s">
        <v>46</v>
      </c>
      <c r="V147" s="6" t="s">
        <v>34</v>
      </c>
      <c r="W147" s="6" t="s">
        <v>37</v>
      </c>
    </row>
    <row r="148" spans="1:24">
      <c r="A148" t="s">
        <v>464</v>
      </c>
      <c r="B148" t="s">
        <v>368</v>
      </c>
      <c r="C148" t="s">
        <v>369</v>
      </c>
      <c r="D148" t="s">
        <v>27</v>
      </c>
      <c r="E148" t="s">
        <v>28</v>
      </c>
      <c r="F148" t="s">
        <v>98</v>
      </c>
      <c r="G148" t="s">
        <v>99</v>
      </c>
      <c r="H148" t="s">
        <v>44</v>
      </c>
      <c r="I148" s="6" t="s">
        <v>32</v>
      </c>
      <c r="J148" s="2">
        <v>140</v>
      </c>
      <c r="K148" s="2">
        <v>132</v>
      </c>
      <c r="L148" s="6" t="s">
        <v>54</v>
      </c>
      <c r="M148" s="6" t="s">
        <v>54</v>
      </c>
      <c r="N148" s="7">
        <v>1</v>
      </c>
      <c r="O148" s="6" t="s">
        <v>34</v>
      </c>
      <c r="P148" s="4">
        <v>65</v>
      </c>
      <c r="Q148" s="2">
        <v>40.799999999999997</v>
      </c>
      <c r="R148" s="3">
        <v>1.02</v>
      </c>
      <c r="S148" s="5">
        <v>46518</v>
      </c>
      <c r="T148" s="5">
        <v>45982</v>
      </c>
      <c r="U148" t="s">
        <v>100</v>
      </c>
      <c r="V148" s="6" t="s">
        <v>36</v>
      </c>
      <c r="W148" s="6" t="s">
        <v>37</v>
      </c>
    </row>
    <row r="149" spans="1:24">
      <c r="A149" t="s">
        <v>465</v>
      </c>
      <c r="B149" t="s">
        <v>466</v>
      </c>
      <c r="C149" t="s">
        <v>467</v>
      </c>
      <c r="D149" t="s">
        <v>27</v>
      </c>
      <c r="E149" t="s">
        <v>90</v>
      </c>
      <c r="F149" t="s">
        <v>105</v>
      </c>
      <c r="G149" t="s">
        <v>106</v>
      </c>
      <c r="H149" t="s">
        <v>91</v>
      </c>
      <c r="I149" s="6" t="s">
        <v>107</v>
      </c>
      <c r="J149" s="2">
        <v>190</v>
      </c>
      <c r="K149" s="2">
        <v>100</v>
      </c>
      <c r="L149" s="6" t="s">
        <v>55</v>
      </c>
      <c r="M149" s="6" t="s">
        <v>55</v>
      </c>
      <c r="N149" s="7">
        <v>1</v>
      </c>
      <c r="O149" s="6" t="s">
        <v>34</v>
      </c>
      <c r="P149" s="4">
        <v>55</v>
      </c>
      <c r="Q149" s="2">
        <v>41.3</v>
      </c>
      <c r="R149" s="3">
        <v>0.91</v>
      </c>
      <c r="S149" s="5">
        <v>47183</v>
      </c>
      <c r="T149" s="5">
        <v>46014</v>
      </c>
      <c r="U149" t="s">
        <v>108</v>
      </c>
      <c r="V149" s="6" t="s">
        <v>34</v>
      </c>
      <c r="W149" s="6" t="s">
        <v>57</v>
      </c>
    </row>
    <row r="150" spans="1:24">
      <c r="A150" t="s">
        <v>468</v>
      </c>
      <c r="B150" t="s">
        <v>416</v>
      </c>
      <c r="C150" t="s">
        <v>417</v>
      </c>
      <c r="D150" t="s">
        <v>50</v>
      </c>
      <c r="E150" t="s">
        <v>71</v>
      </c>
      <c r="F150" t="s">
        <v>105</v>
      </c>
      <c r="G150" t="s">
        <v>106</v>
      </c>
      <c r="H150" t="s">
        <v>44</v>
      </c>
      <c r="I150" s="6" t="s">
        <v>32</v>
      </c>
      <c r="J150" s="2">
        <v>265</v>
      </c>
      <c r="K150" s="2">
        <v>259</v>
      </c>
      <c r="L150" s="6" t="s">
        <v>92</v>
      </c>
      <c r="M150" s="6" t="s">
        <v>92</v>
      </c>
      <c r="N150" s="7">
        <v>1</v>
      </c>
      <c r="O150" s="6" t="s">
        <v>34</v>
      </c>
      <c r="P150" s="4">
        <v>75</v>
      </c>
      <c r="Q150" s="2">
        <v>117.9</v>
      </c>
      <c r="R150" s="3">
        <v>2.2200000000000002</v>
      </c>
      <c r="S150" s="5">
        <v>47981</v>
      </c>
      <c r="T150" s="5">
        <v>46252</v>
      </c>
      <c r="U150" t="s">
        <v>113</v>
      </c>
      <c r="V150" s="6" t="s">
        <v>34</v>
      </c>
      <c r="W150" s="6" t="s">
        <v>75</v>
      </c>
    </row>
    <row r="151" spans="1:24">
      <c r="A151" t="s">
        <v>469</v>
      </c>
      <c r="B151" t="s">
        <v>470</v>
      </c>
      <c r="C151" t="s">
        <v>471</v>
      </c>
      <c r="D151" t="s">
        <v>50</v>
      </c>
      <c r="E151" t="s">
        <v>62</v>
      </c>
      <c r="F151" t="s">
        <v>188</v>
      </c>
      <c r="G151" t="s">
        <v>30</v>
      </c>
      <c r="H151" t="s">
        <v>112</v>
      </c>
      <c r="I151" s="6" t="s">
        <v>32</v>
      </c>
      <c r="J151" s="2">
        <v>250</v>
      </c>
      <c r="K151" s="2">
        <v>47</v>
      </c>
      <c r="L151" s="6" t="s">
        <v>73</v>
      </c>
      <c r="M151" s="6" t="s">
        <v>73</v>
      </c>
      <c r="N151" s="7">
        <v>1</v>
      </c>
      <c r="O151" s="6" t="s">
        <v>34</v>
      </c>
      <c r="P151" s="4">
        <v>110</v>
      </c>
      <c r="Q151" s="2">
        <v>103.9</v>
      </c>
      <c r="R151" s="3">
        <v>1.55</v>
      </c>
      <c r="S151" s="5">
        <v>46786</v>
      </c>
      <c r="T151" s="5">
        <v>45846</v>
      </c>
      <c r="U151" t="s">
        <v>35</v>
      </c>
      <c r="V151" s="6" t="s">
        <v>34</v>
      </c>
      <c r="W151" s="6" t="s">
        <v>75</v>
      </c>
      <c r="X151" t="s">
        <v>67</v>
      </c>
    </row>
    <row r="152" spans="1:24">
      <c r="A152" t="s">
        <v>472</v>
      </c>
      <c r="B152" t="s">
        <v>473</v>
      </c>
      <c r="C152" t="s">
        <v>474</v>
      </c>
      <c r="D152" t="s">
        <v>50</v>
      </c>
      <c r="E152" t="s">
        <v>120</v>
      </c>
      <c r="F152" t="s">
        <v>105</v>
      </c>
      <c r="G152" t="s">
        <v>106</v>
      </c>
      <c r="H152" t="s">
        <v>112</v>
      </c>
      <c r="I152" s="6" t="s">
        <v>32</v>
      </c>
      <c r="J152" s="2">
        <v>205</v>
      </c>
      <c r="K152" s="2">
        <v>82</v>
      </c>
      <c r="L152" s="6" t="s">
        <v>54</v>
      </c>
      <c r="M152" s="6" t="s">
        <v>54</v>
      </c>
      <c r="N152" s="7">
        <v>1</v>
      </c>
      <c r="O152" s="6" t="s">
        <v>34</v>
      </c>
      <c r="P152" s="4">
        <v>40</v>
      </c>
      <c r="Q152" s="2">
        <v>43</v>
      </c>
      <c r="R152" s="3">
        <v>0.71</v>
      </c>
      <c r="S152" s="5">
        <v>47837</v>
      </c>
      <c r="T152" s="5">
        <v>46176</v>
      </c>
      <c r="U152" t="s">
        <v>113</v>
      </c>
      <c r="V152" s="6" t="s">
        <v>34</v>
      </c>
      <c r="W152" s="6" t="s">
        <v>37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85ED-D7AF-4361-84BD-32ED598857C4}">
  <dimension ref="A1:K1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25.7109375" customWidth="1"/>
    <col min="3" max="3" width="14.7109375" customWidth="1"/>
    <col min="4" max="4" width="13.7109375" customWidth="1"/>
    <col min="5" max="5" width="16.7109375" customWidth="1"/>
    <col min="6" max="6" width="25.7109375" customWidth="1"/>
    <col min="7" max="9" width="23.7109375" customWidth="1"/>
    <col min="10" max="10" width="20.7109375" customWidth="1"/>
    <col min="11" max="11" width="21.7109375" customWidth="1"/>
  </cols>
  <sheetData>
    <row r="1" spans="1:11" ht="24" customHeight="1">
      <c r="A1" s="8" t="s">
        <v>475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9" t="s">
        <v>476</v>
      </c>
    </row>
    <row r="4" spans="1:11" ht="20.25" customHeight="1">
      <c r="A4" s="1" t="s">
        <v>477</v>
      </c>
      <c r="B4" s="1" t="s">
        <v>478</v>
      </c>
      <c r="C4" s="1" t="s">
        <v>10</v>
      </c>
      <c r="D4" s="1" t="s">
        <v>16</v>
      </c>
      <c r="E4" s="1" t="s">
        <v>479</v>
      </c>
      <c r="F4" s="1" t="s">
        <v>480</v>
      </c>
      <c r="G4" s="1" t="s">
        <v>481</v>
      </c>
      <c r="H4" s="1" t="s">
        <v>482</v>
      </c>
      <c r="I4" s="1" t="s">
        <v>483</v>
      </c>
      <c r="J4" s="1" t="s">
        <v>484</v>
      </c>
      <c r="K4" s="1" t="s">
        <v>485</v>
      </c>
    </row>
    <row r="5" spans="1:11">
      <c r="A5" s="12" t="s">
        <v>486</v>
      </c>
      <c r="B5" s="10">
        <v>25415</v>
      </c>
      <c r="C5" s="10">
        <v>16774</v>
      </c>
      <c r="D5" s="10">
        <v>11157</v>
      </c>
      <c r="E5" s="11">
        <v>57.5</v>
      </c>
      <c r="F5" s="11">
        <v>3.8</v>
      </c>
      <c r="G5" s="10">
        <v>1423</v>
      </c>
      <c r="H5" s="10">
        <v>22</v>
      </c>
      <c r="I5" s="3">
        <v>12</v>
      </c>
      <c r="J5" s="4">
        <v>4</v>
      </c>
      <c r="K5" s="4">
        <v>101</v>
      </c>
    </row>
    <row r="6" spans="1:11">
      <c r="A6" s="12" t="s">
        <v>487</v>
      </c>
      <c r="B6" s="10">
        <v>25669</v>
      </c>
      <c r="C6" s="10">
        <v>17044</v>
      </c>
      <c r="D6" s="10">
        <v>11320</v>
      </c>
      <c r="E6" s="11">
        <v>57.7</v>
      </c>
      <c r="F6" s="11">
        <v>4.2</v>
      </c>
      <c r="G6" s="10">
        <v>1514</v>
      </c>
      <c r="H6" s="10">
        <v>22</v>
      </c>
      <c r="I6" s="3">
        <v>12.2</v>
      </c>
      <c r="J6" s="4">
        <v>4</v>
      </c>
      <c r="K6" s="4">
        <v>102</v>
      </c>
    </row>
    <row r="7" spans="1:11">
      <c r="A7" s="12" t="s">
        <v>488</v>
      </c>
      <c r="B7" s="10">
        <v>26028</v>
      </c>
      <c r="C7" s="10">
        <v>17361</v>
      </c>
      <c r="D7" s="10">
        <v>11530</v>
      </c>
      <c r="E7" s="11">
        <v>58.2</v>
      </c>
      <c r="F7" s="11">
        <v>3.9</v>
      </c>
      <c r="G7" s="10">
        <v>1588</v>
      </c>
      <c r="H7" s="10">
        <v>0</v>
      </c>
      <c r="I7" s="3">
        <v>12.5</v>
      </c>
      <c r="J7" s="4">
        <v>5</v>
      </c>
      <c r="K7" s="4">
        <v>104</v>
      </c>
    </row>
    <row r="8" spans="1:11">
      <c r="A8" s="12" t="s">
        <v>489</v>
      </c>
      <c r="B8" s="10">
        <v>26236</v>
      </c>
      <c r="C8" s="10">
        <v>17604</v>
      </c>
      <c r="D8" s="10">
        <v>11675</v>
      </c>
      <c r="E8" s="11">
        <v>58.4</v>
      </c>
      <c r="F8" s="11">
        <v>5.0999999999999996</v>
      </c>
      <c r="G8" s="10">
        <v>1679</v>
      </c>
      <c r="H8" s="10">
        <v>0</v>
      </c>
      <c r="I8" s="3">
        <v>12.7</v>
      </c>
      <c r="J8" s="4">
        <v>5</v>
      </c>
      <c r="K8" s="4">
        <v>105</v>
      </c>
    </row>
    <row r="9" spans="1:11">
      <c r="A9" s="12" t="s">
        <v>490</v>
      </c>
      <c r="B9" s="10">
        <v>26551</v>
      </c>
      <c r="C9" s="10">
        <v>17948</v>
      </c>
      <c r="D9" s="10">
        <v>11895</v>
      </c>
      <c r="E9" s="11">
        <v>58.9</v>
      </c>
      <c r="F9" s="11">
        <v>4.5999999999999996</v>
      </c>
      <c r="G9" s="10">
        <v>1805</v>
      </c>
      <c r="H9" s="10">
        <v>0</v>
      </c>
      <c r="I9" s="3">
        <v>12.9</v>
      </c>
      <c r="J9" s="4">
        <v>6</v>
      </c>
      <c r="K9" s="4">
        <v>106</v>
      </c>
    </row>
    <row r="10" spans="1:11">
      <c r="A10" s="12" t="s">
        <v>491</v>
      </c>
      <c r="B10" s="10">
        <v>26843</v>
      </c>
      <c r="C10" s="10">
        <v>18307</v>
      </c>
      <c r="D10" s="10">
        <v>12106</v>
      </c>
      <c r="E10" s="11">
        <v>59</v>
      </c>
      <c r="F10" s="11">
        <v>6.3</v>
      </c>
      <c r="G10" s="10">
        <v>1906</v>
      </c>
      <c r="H10" s="10">
        <v>0</v>
      </c>
      <c r="I10" s="3">
        <v>13.2</v>
      </c>
      <c r="J10" s="4">
        <v>6</v>
      </c>
      <c r="K10" s="4">
        <v>107</v>
      </c>
    </row>
    <row r="11" spans="1:11">
      <c r="A11" s="12" t="s">
        <v>492</v>
      </c>
      <c r="B11" s="10">
        <v>27246</v>
      </c>
      <c r="C11" s="10">
        <v>18772</v>
      </c>
      <c r="D11" s="10">
        <v>12370</v>
      </c>
      <c r="E11" s="11">
        <v>59.4</v>
      </c>
      <c r="F11" s="11">
        <v>7</v>
      </c>
      <c r="G11" s="10">
        <v>2043</v>
      </c>
      <c r="H11" s="10">
        <v>0</v>
      </c>
      <c r="I11" s="3">
        <v>13.4</v>
      </c>
      <c r="J11" s="4">
        <v>7</v>
      </c>
      <c r="K11" s="4">
        <v>108</v>
      </c>
    </row>
    <row r="12" spans="1:11">
      <c r="A12" s="12" t="s">
        <v>493</v>
      </c>
      <c r="B12" s="10">
        <v>27600</v>
      </c>
      <c r="C12" s="10">
        <v>19281</v>
      </c>
      <c r="D12" s="10">
        <v>12616.4</v>
      </c>
      <c r="E12" s="11">
        <v>59.7</v>
      </c>
      <c r="F12" s="11">
        <v>15.4</v>
      </c>
      <c r="G12" s="10">
        <v>2220</v>
      </c>
      <c r="H12" s="10">
        <v>45</v>
      </c>
      <c r="I12" s="3">
        <v>13.61</v>
      </c>
      <c r="J12" s="4">
        <v>8</v>
      </c>
      <c r="K12" s="4">
        <v>110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26EC-E1F9-49F9-A97C-281C4D3D77FC}">
  <dimension ref="A1:F2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6.7109375" customWidth="1"/>
    <col min="2" max="2" width="31.7109375" customWidth="1"/>
    <col min="3" max="3" width="20.7109375" customWidth="1"/>
    <col min="4" max="4" width="28.7109375" customWidth="1"/>
    <col min="5" max="5" width="20.7109375" customWidth="1"/>
    <col min="6" max="6" width="18.7109375" customWidth="1"/>
  </cols>
  <sheetData>
    <row r="1" spans="1:6" ht="24" customHeight="1">
      <c r="A1" s="8" t="s">
        <v>494</v>
      </c>
      <c r="B1" s="8"/>
      <c r="C1" s="8"/>
      <c r="D1" s="8"/>
      <c r="E1" s="8"/>
      <c r="F1" s="8"/>
    </row>
    <row r="2" spans="1:6">
      <c r="A2" s="9" t="s">
        <v>495</v>
      </c>
    </row>
    <row r="4" spans="1:6" ht="20.25" customHeight="1">
      <c r="A4" s="1" t="s">
        <v>4</v>
      </c>
      <c r="B4" s="1" t="s">
        <v>496</v>
      </c>
      <c r="C4" s="1" t="s">
        <v>497</v>
      </c>
      <c r="D4" s="1" t="s">
        <v>498</v>
      </c>
      <c r="E4" s="1" t="s">
        <v>499</v>
      </c>
      <c r="F4" s="1" t="s">
        <v>500</v>
      </c>
    </row>
    <row r="5" spans="1:6">
      <c r="A5" t="s">
        <v>97</v>
      </c>
      <c r="B5" s="3">
        <v>15</v>
      </c>
      <c r="C5" s="3">
        <v>13.5</v>
      </c>
      <c r="D5" s="2">
        <f>SUMIFS(tblPortfolio[Commitment_EURm],tblPortfolio[Sector],tblLimits[[#This Row],[Sector]])</f>
        <v>3755</v>
      </c>
      <c r="E5" s="3">
        <f>D5/SUM(tblPortfolio[Commitment_EURm])*100</f>
        <v>13.541291020555354</v>
      </c>
      <c r="F5" s="6" t="str">
        <f t="shared" ref="F5:F15" si="0">IF(E5&gt;B5,"Breach",IF(E5&gt;=C5,"Early warning","Within appetite"))</f>
        <v>Early warning</v>
      </c>
    </row>
    <row r="6" spans="1:6">
      <c r="A6" t="s">
        <v>120</v>
      </c>
      <c r="B6" s="3">
        <v>12</v>
      </c>
      <c r="C6" s="3">
        <v>10.8</v>
      </c>
      <c r="D6" s="2">
        <f>SUMIFS(tblPortfolio[Commitment_EURm],tblPortfolio[Sector],tblLimits[[#This Row],[Sector]])</f>
        <v>2620</v>
      </c>
      <c r="E6" s="3">
        <f>D6/SUM(tblPortfolio[Commitment_EURm])*100</f>
        <v>9.4482509917057342</v>
      </c>
      <c r="F6" s="6" t="str">
        <f>IF(E6&gt;B6,"Breach",IF(E6&gt;=C6,"Early warning","Within appetite"))</f>
        <v>Within appetite</v>
      </c>
    </row>
    <row r="7" spans="1:6">
      <c r="A7" t="s">
        <v>51</v>
      </c>
      <c r="B7" s="3">
        <v>18</v>
      </c>
      <c r="C7" s="3">
        <v>16.2</v>
      </c>
      <c r="D7" s="2">
        <f>SUMIFS(tblPortfolio[Commitment_EURm],tblPortfolio[Sector],tblLimits[[#This Row],[Sector]])</f>
        <v>3865</v>
      </c>
      <c r="E7" s="3">
        <f>D7/SUM(tblPortfolio[Commitment_EURm])*100</f>
        <v>13.937973314100253</v>
      </c>
      <c r="F7" s="6" t="str">
        <f>IF(E7&gt;B7,"Breach",IF(E7&gt;=C7,"Early warning","Within appetite"))</f>
        <v>Within appetite</v>
      </c>
    </row>
    <row r="8" spans="1:6">
      <c r="A8" t="s">
        <v>154</v>
      </c>
      <c r="B8" s="3">
        <v>12</v>
      </c>
      <c r="C8" s="3">
        <v>10.8</v>
      </c>
      <c r="D8" s="2">
        <f>SUMIFS(tblPortfolio[Commitment_EURm],tblPortfolio[Sector],tblLimits[[#This Row],[Sector]])</f>
        <v>2340</v>
      </c>
      <c r="E8" s="3">
        <f>D8/SUM(tblPortfolio[Commitment_EURm])*100</f>
        <v>8.4385142445005403</v>
      </c>
      <c r="F8" s="6" t="str">
        <f>IF(E8&gt;B8,"Breach",IF(E8&gt;=C8,"Early warning","Within appetite"))</f>
        <v>Within appetite</v>
      </c>
    </row>
    <row r="9" spans="1:6">
      <c r="A9" t="s">
        <v>62</v>
      </c>
      <c r="B9" s="3">
        <v>12</v>
      </c>
      <c r="C9" s="3">
        <v>10.8</v>
      </c>
      <c r="D9" s="2">
        <f>SUMIFS(tblPortfolio[Commitment_EURm],tblPortfolio[Sector],tblLimits[[#This Row],[Sector]])</f>
        <v>2485</v>
      </c>
      <c r="E9" s="3">
        <f>D9/SUM(tblPortfolio[Commitment_EURm])*100</f>
        <v>8.9614136314460868</v>
      </c>
      <c r="F9" s="6" t="str">
        <f>IF(E9&gt;B9,"Breach",IF(E9&gt;=C9,"Early warning","Within appetite"))</f>
        <v>Within appetite</v>
      </c>
    </row>
    <row r="10" spans="1:6">
      <c r="A10" t="s">
        <v>41</v>
      </c>
      <c r="B10" s="3">
        <v>12</v>
      </c>
      <c r="C10" s="3">
        <v>10.8</v>
      </c>
      <c r="D10" s="2">
        <f>SUMIFS(tblPortfolio[Commitment_EURm],tblPortfolio[Sector],tblLimits[[#This Row],[Sector]])</f>
        <v>2345</v>
      </c>
      <c r="E10" s="3">
        <f>D10/SUM(tblPortfolio[Commitment_EURm])*100</f>
        <v>8.4565452578434908</v>
      </c>
      <c r="F10" s="6" t="str">
        <f>IF(E10&gt;B10,"Breach",IF(E10&gt;=C10,"Early warning","Within appetite"))</f>
        <v>Within appetite</v>
      </c>
    </row>
    <row r="11" spans="1:6">
      <c r="A11" t="s">
        <v>90</v>
      </c>
      <c r="B11" s="3">
        <v>10</v>
      </c>
      <c r="C11" s="3">
        <v>9</v>
      </c>
      <c r="D11" s="2">
        <f>SUMIFS(tblPortfolio[Commitment_EURm],tblPortfolio[Sector],tblLimits[[#This Row],[Sector]])</f>
        <v>2265</v>
      </c>
      <c r="E11" s="3">
        <f>D11/SUM(tblPortfolio[Commitment_EURm])*100</f>
        <v>8.1680490443562928</v>
      </c>
      <c r="F11" s="6" t="str">
        <f>IF(E11&gt;B11,"Breach",IF(E11&gt;=C11,"Early warning","Within appetite"))</f>
        <v>Within appetite</v>
      </c>
    </row>
    <row r="12" spans="1:6">
      <c r="A12" t="s">
        <v>71</v>
      </c>
      <c r="B12" s="3">
        <v>10</v>
      </c>
      <c r="C12" s="3">
        <v>9</v>
      </c>
      <c r="D12" s="2">
        <f>SUMIFS(tblPortfolio[Commitment_EURm],tblPortfolio[Sector],tblLimits[[#This Row],[Sector]])</f>
        <v>2070</v>
      </c>
      <c r="E12" s="3">
        <f>D12/SUM(tblPortfolio[Commitment_EURm])*100</f>
        <v>7.4648395239812482</v>
      </c>
      <c r="F12" s="6" t="str">
        <f>IF(E12&gt;B12,"Breach",IF(E12&gt;=C12,"Early warning","Within appetite"))</f>
        <v>Within appetite</v>
      </c>
    </row>
    <row r="13" spans="1:6">
      <c r="A13" t="s">
        <v>150</v>
      </c>
      <c r="B13" s="3">
        <v>10</v>
      </c>
      <c r="C13" s="3">
        <v>9</v>
      </c>
      <c r="D13" s="2">
        <f>SUMIFS(tblPortfolio[Commitment_EURm],tblPortfolio[Sector],tblLimits[[#This Row],[Sector]])</f>
        <v>1655</v>
      </c>
      <c r="E13" s="3">
        <f>D13/SUM(tblPortfolio[Commitment_EURm])*100</f>
        <v>5.9682654165164086</v>
      </c>
      <c r="F13" s="6" t="str">
        <f>IF(E13&gt;B13,"Breach",IF(E13&gt;=C13,"Early warning","Within appetite"))</f>
        <v>Within appetite</v>
      </c>
    </row>
    <row r="14" spans="1:6">
      <c r="A14" t="s">
        <v>161</v>
      </c>
      <c r="B14" s="3">
        <v>6</v>
      </c>
      <c r="C14" s="3">
        <v>5.4</v>
      </c>
      <c r="D14" s="2">
        <f>SUMIFS(tblPortfolio[Commitment_EURm],tblPortfolio[Sector],tblLimits[[#This Row],[Sector]])</f>
        <v>1105</v>
      </c>
      <c r="E14" s="3">
        <f>D14/SUM(tblPortfolio[Commitment_EURm])*100</f>
        <v>3.9848539487919221</v>
      </c>
      <c r="F14" s="6" t="str">
        <f>IF(E14&gt;B14,"Breach",IF(E14&gt;=C14,"Early warning","Within appetite"))</f>
        <v>Within appetite</v>
      </c>
    </row>
    <row r="15" spans="1:6">
      <c r="A15" t="s">
        <v>28</v>
      </c>
      <c r="B15" s="3">
        <v>15</v>
      </c>
      <c r="C15" s="3">
        <v>13.5</v>
      </c>
      <c r="D15" s="2">
        <f>SUMIFS(tblPortfolio[Commitment_EURm],tblPortfolio[Sector],tblLimits[[#This Row],[Sector]])</f>
        <v>3225</v>
      </c>
      <c r="E15" s="3">
        <f>D15/SUM(tblPortfolio[Commitment_EURm])*100</f>
        <v>11.630003606202669</v>
      </c>
      <c r="F15" s="6" t="str">
        <f>IF(E15&gt;B15,"Breach",IF(E15&gt;=C15,"Early warning","Within appetite"))</f>
        <v>Within appetite</v>
      </c>
    </row>
    <row r="17" spans="1:2" ht="15.75">
      <c r="A17" s="13" t="s">
        <v>501</v>
      </c>
    </row>
    <row r="18" spans="1:2" ht="20.25" customHeight="1">
      <c r="A18" s="1" t="s">
        <v>502</v>
      </c>
      <c r="B18" s="1" t="s">
        <v>503</v>
      </c>
    </row>
    <row r="19" spans="1:2">
      <c r="A19" t="s">
        <v>504</v>
      </c>
      <c r="B19" s="10">
        <v>600</v>
      </c>
    </row>
    <row r="20" spans="1:2">
      <c r="A20" t="s">
        <v>505</v>
      </c>
      <c r="B20" s="10">
        <v>500</v>
      </c>
    </row>
    <row r="21" spans="1:2">
      <c r="A21" t="s">
        <v>506</v>
      </c>
      <c r="B21" s="10">
        <v>250</v>
      </c>
    </row>
    <row r="22" spans="1:2">
      <c r="A22" t="s">
        <v>507</v>
      </c>
      <c r="B22" s="10">
        <v>100</v>
      </c>
    </row>
  </sheetData>
  <mergeCells count="1">
    <mergeCell ref="A1:F1"/>
  </mergeCells>
  <conditionalFormatting sqref="F5:F15">
    <cfRule type="containsText" dxfId="23" priority="1" operator="containsText" text="Breach">
      <formula>NOT(ISERROR(SEARCH("Breach",F5)))</formula>
    </cfRule>
  </conditionalFormatting>
  <conditionalFormatting sqref="F5:F15">
    <cfRule type="containsText" dxfId="22" priority="2" operator="containsText" text="Early warning">
      <formula>NOT(ISERROR(SEARCH("Early warning",F5)))</formula>
    </cfRule>
  </conditionalFormatting>
  <conditionalFormatting sqref="F5:F15">
    <cfRule type="containsText" dxfId="21" priority="3" operator="containsText" text="Within appetite">
      <formula>NOT(ISERROR(SEARCH("Within appetite",F5)))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CC38-A0C9-45BA-BE1E-809BE4001333}">
  <dimension ref="A1:M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7.7109375" customWidth="1"/>
    <col min="2" max="2" width="32.7109375" customWidth="1"/>
    <col min="3" max="3" width="22.7109375" customWidth="1"/>
    <col min="4" max="4" width="16.7109375" customWidth="1"/>
    <col min="5" max="5" width="21.7109375" customWidth="1"/>
    <col min="6" max="6" width="40.7109375" customWidth="1"/>
    <col min="7" max="7" width="21.7109375" customWidth="1"/>
    <col min="8" max="10" width="18.7109375" customWidth="1"/>
    <col min="11" max="11" width="15.7109375" customWidth="1"/>
    <col min="12" max="12" width="13.7109375" customWidth="1"/>
    <col min="13" max="13" width="35.7109375" customWidth="1"/>
  </cols>
  <sheetData>
    <row r="1" spans="1:13" ht="24" customHeight="1">
      <c r="A1" s="8" t="s">
        <v>508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>
      <c r="A2" s="9" t="s">
        <v>509</v>
      </c>
    </row>
    <row r="4" spans="1:13" ht="20.25" customHeight="1">
      <c r="A4" s="1" t="s">
        <v>510</v>
      </c>
      <c r="B4" s="1" t="s">
        <v>511</v>
      </c>
      <c r="C4" s="1" t="s">
        <v>4</v>
      </c>
      <c r="D4" s="1" t="s">
        <v>5</v>
      </c>
      <c r="E4" s="1" t="s">
        <v>3</v>
      </c>
      <c r="F4" s="1" t="s">
        <v>7</v>
      </c>
      <c r="G4" s="1" t="s">
        <v>512</v>
      </c>
      <c r="H4" s="1" t="s">
        <v>513</v>
      </c>
      <c r="I4" s="1" t="s">
        <v>514</v>
      </c>
      <c r="J4" s="1" t="s">
        <v>515</v>
      </c>
      <c r="K4" s="1" t="s">
        <v>11</v>
      </c>
      <c r="L4" s="1" t="s">
        <v>15</v>
      </c>
      <c r="M4" s="1" t="s">
        <v>500</v>
      </c>
    </row>
    <row r="5" spans="1:13">
      <c r="A5" t="s">
        <v>516</v>
      </c>
      <c r="B5" t="s">
        <v>439</v>
      </c>
      <c r="C5" t="s">
        <v>97</v>
      </c>
      <c r="D5" t="s">
        <v>42</v>
      </c>
      <c r="E5" t="s">
        <v>50</v>
      </c>
      <c r="F5" t="s">
        <v>517</v>
      </c>
      <c r="G5" s="10">
        <v>250</v>
      </c>
      <c r="H5" s="14" t="s">
        <v>518</v>
      </c>
      <c r="I5" t="s">
        <v>519</v>
      </c>
      <c r="J5" s="4">
        <v>70</v>
      </c>
      <c r="K5" s="6" t="s">
        <v>73</v>
      </c>
      <c r="L5" s="4">
        <v>135</v>
      </c>
      <c r="M5" t="s">
        <v>520</v>
      </c>
    </row>
    <row r="6" spans="1:13">
      <c r="A6" t="s">
        <v>521</v>
      </c>
      <c r="B6" t="s">
        <v>522</v>
      </c>
      <c r="C6" t="s">
        <v>97</v>
      </c>
      <c r="D6" t="s">
        <v>165</v>
      </c>
      <c r="E6" t="s">
        <v>27</v>
      </c>
      <c r="F6" t="s">
        <v>44</v>
      </c>
      <c r="G6" s="10">
        <v>160</v>
      </c>
      <c r="H6" s="14">
        <v>160</v>
      </c>
      <c r="I6" t="s">
        <v>523</v>
      </c>
      <c r="J6" s="4">
        <v>80</v>
      </c>
      <c r="K6" s="6" t="s">
        <v>33</v>
      </c>
      <c r="L6" s="4">
        <v>115</v>
      </c>
      <c r="M6" t="s">
        <v>524</v>
      </c>
    </row>
    <row r="7" spans="1:13">
      <c r="A7" t="s">
        <v>525</v>
      </c>
      <c r="B7" t="s">
        <v>526</v>
      </c>
      <c r="C7" t="s">
        <v>97</v>
      </c>
      <c r="D7" t="s">
        <v>29</v>
      </c>
      <c r="E7" t="s">
        <v>27</v>
      </c>
      <c r="F7" t="s">
        <v>112</v>
      </c>
      <c r="G7" s="10">
        <v>120</v>
      </c>
      <c r="H7" s="14">
        <v>120</v>
      </c>
      <c r="I7" t="s">
        <v>527</v>
      </c>
      <c r="J7" s="4">
        <v>75</v>
      </c>
      <c r="K7" s="6" t="s">
        <v>92</v>
      </c>
      <c r="L7" s="4">
        <v>85</v>
      </c>
      <c r="M7" t="s">
        <v>528</v>
      </c>
    </row>
    <row r="8" spans="1:13">
      <c r="A8" t="s">
        <v>529</v>
      </c>
      <c r="B8" t="s">
        <v>530</v>
      </c>
      <c r="C8" t="s">
        <v>51</v>
      </c>
      <c r="D8" t="s">
        <v>52</v>
      </c>
      <c r="E8" t="s">
        <v>27</v>
      </c>
      <c r="F8" t="s">
        <v>31</v>
      </c>
      <c r="G8" s="10">
        <v>220</v>
      </c>
      <c r="H8" s="14">
        <v>220</v>
      </c>
      <c r="I8" t="s">
        <v>523</v>
      </c>
      <c r="J8" s="4">
        <v>90</v>
      </c>
      <c r="K8" s="6" t="s">
        <v>33</v>
      </c>
      <c r="L8" s="4">
        <v>150</v>
      </c>
      <c r="M8" t="s">
        <v>524</v>
      </c>
    </row>
    <row r="9" spans="1:13">
      <c r="A9" t="s">
        <v>531</v>
      </c>
      <c r="B9" t="s">
        <v>532</v>
      </c>
      <c r="C9" t="s">
        <v>28</v>
      </c>
      <c r="D9" t="s">
        <v>188</v>
      </c>
      <c r="E9" t="s">
        <v>27</v>
      </c>
      <c r="F9" t="s">
        <v>44</v>
      </c>
      <c r="G9" s="10">
        <v>180</v>
      </c>
      <c r="H9" s="14">
        <v>180</v>
      </c>
      <c r="I9" t="s">
        <v>527</v>
      </c>
      <c r="J9" s="4">
        <v>75</v>
      </c>
      <c r="K9" s="6" t="s">
        <v>55</v>
      </c>
      <c r="L9" s="4">
        <v>95</v>
      </c>
      <c r="M9" t="s">
        <v>528</v>
      </c>
    </row>
    <row r="10" spans="1:13">
      <c r="A10" t="s">
        <v>533</v>
      </c>
      <c r="B10" t="s">
        <v>534</v>
      </c>
      <c r="C10" t="s">
        <v>41</v>
      </c>
      <c r="D10" t="s">
        <v>188</v>
      </c>
      <c r="E10" t="s">
        <v>50</v>
      </c>
      <c r="F10" t="s">
        <v>112</v>
      </c>
      <c r="G10" s="10">
        <v>120</v>
      </c>
      <c r="H10" s="14">
        <v>120</v>
      </c>
      <c r="I10" t="s">
        <v>523</v>
      </c>
      <c r="J10" s="4">
        <v>70</v>
      </c>
      <c r="K10" s="6" t="s">
        <v>54</v>
      </c>
      <c r="L10" s="4">
        <v>55</v>
      </c>
      <c r="M10" t="s">
        <v>535</v>
      </c>
    </row>
    <row r="11" spans="1:13">
      <c r="A11" t="s">
        <v>536</v>
      </c>
      <c r="B11" t="s">
        <v>537</v>
      </c>
      <c r="C11" t="s">
        <v>154</v>
      </c>
      <c r="D11" t="s">
        <v>105</v>
      </c>
      <c r="E11" t="s">
        <v>27</v>
      </c>
      <c r="F11" t="s">
        <v>44</v>
      </c>
      <c r="G11" s="10">
        <v>100</v>
      </c>
      <c r="H11" s="14">
        <v>100</v>
      </c>
      <c r="I11" t="s">
        <v>523</v>
      </c>
      <c r="J11" s="4">
        <v>80</v>
      </c>
      <c r="K11" s="6" t="s">
        <v>33</v>
      </c>
      <c r="L11" s="4">
        <v>110</v>
      </c>
      <c r="M11" t="s">
        <v>524</v>
      </c>
    </row>
    <row r="12" spans="1:13">
      <c r="A12" t="s">
        <v>538</v>
      </c>
      <c r="B12" t="s">
        <v>539</v>
      </c>
      <c r="C12" t="s">
        <v>120</v>
      </c>
      <c r="D12" t="s">
        <v>84</v>
      </c>
      <c r="E12" t="s">
        <v>27</v>
      </c>
      <c r="F12" t="s">
        <v>44</v>
      </c>
      <c r="G12" s="10">
        <v>90</v>
      </c>
      <c r="H12" s="14">
        <v>90</v>
      </c>
      <c r="I12" t="s">
        <v>527</v>
      </c>
      <c r="J12" s="4">
        <v>40</v>
      </c>
      <c r="K12" s="6" t="s">
        <v>183</v>
      </c>
      <c r="L12" s="4">
        <v>185</v>
      </c>
      <c r="M12" t="s">
        <v>540</v>
      </c>
    </row>
    <row r="13" spans="1:13">
      <c r="A13" t="s">
        <v>541</v>
      </c>
      <c r="B13" t="s">
        <v>542</v>
      </c>
      <c r="C13" t="s">
        <v>161</v>
      </c>
      <c r="D13" t="s">
        <v>105</v>
      </c>
      <c r="E13" t="s">
        <v>27</v>
      </c>
      <c r="F13" t="s">
        <v>44</v>
      </c>
      <c r="G13" s="10">
        <v>75</v>
      </c>
      <c r="H13" s="14">
        <v>75</v>
      </c>
      <c r="I13" t="s">
        <v>527</v>
      </c>
      <c r="J13" s="4">
        <v>50</v>
      </c>
      <c r="K13" s="6" t="s">
        <v>73</v>
      </c>
      <c r="L13" s="4">
        <v>160</v>
      </c>
      <c r="M13" t="s">
        <v>543</v>
      </c>
    </row>
    <row r="14" spans="1:13">
      <c r="A14" t="s">
        <v>544</v>
      </c>
      <c r="B14" t="s">
        <v>545</v>
      </c>
      <c r="C14" t="s">
        <v>62</v>
      </c>
      <c r="D14" t="s">
        <v>98</v>
      </c>
      <c r="E14" t="s">
        <v>27</v>
      </c>
      <c r="F14" t="s">
        <v>112</v>
      </c>
      <c r="G14" s="10">
        <v>110</v>
      </c>
      <c r="H14" s="14">
        <v>110</v>
      </c>
      <c r="I14" t="s">
        <v>527</v>
      </c>
      <c r="J14" s="4">
        <v>60</v>
      </c>
      <c r="K14" s="6" t="s">
        <v>33</v>
      </c>
      <c r="L14" s="4">
        <v>95</v>
      </c>
      <c r="M14" t="s">
        <v>535</v>
      </c>
    </row>
    <row r="15" spans="1:13">
      <c r="A15" t="s">
        <v>546</v>
      </c>
      <c r="B15" t="s">
        <v>547</v>
      </c>
      <c r="C15" t="s">
        <v>97</v>
      </c>
      <c r="D15" t="s">
        <v>42</v>
      </c>
      <c r="E15" t="s">
        <v>50</v>
      </c>
      <c r="F15" t="s">
        <v>44</v>
      </c>
      <c r="G15" s="10">
        <v>140</v>
      </c>
      <c r="H15" s="14">
        <v>140</v>
      </c>
      <c r="I15" t="s">
        <v>527</v>
      </c>
      <c r="J15" s="4">
        <v>50</v>
      </c>
      <c r="K15" s="6" t="s">
        <v>33</v>
      </c>
      <c r="L15" s="4">
        <v>95</v>
      </c>
      <c r="M15" t="s">
        <v>540</v>
      </c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E8B1-57AB-45DE-9077-243A8920A786}">
  <dimension ref="A1:E6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15.7109375" customWidth="1"/>
    <col min="3" max="3" width="30.7109375" customWidth="1"/>
    <col min="4" max="4" width="95.7109375" customWidth="1"/>
    <col min="5" max="5" width="26.7109375" customWidth="1"/>
  </cols>
  <sheetData>
    <row r="1" spans="1:5" ht="24" customHeight="1">
      <c r="A1" s="8" t="s">
        <v>548</v>
      </c>
      <c r="B1" s="8"/>
      <c r="C1" s="8"/>
      <c r="D1" s="8"/>
      <c r="E1" s="8"/>
    </row>
    <row r="2" spans="1:5">
      <c r="A2" s="9" t="s">
        <v>549</v>
      </c>
    </row>
    <row r="4" spans="1:5" ht="20.25" customHeight="1">
      <c r="A4" s="1" t="s">
        <v>550</v>
      </c>
      <c r="B4" s="1" t="s">
        <v>551</v>
      </c>
      <c r="C4" s="1" t="s">
        <v>552</v>
      </c>
      <c r="D4" s="1" t="s">
        <v>553</v>
      </c>
      <c r="E4" s="1" t="s">
        <v>554</v>
      </c>
    </row>
    <row r="5" spans="1:5" ht="33" customHeight="1">
      <c r="A5" s="15" t="s">
        <v>555</v>
      </c>
      <c r="B5" s="15" t="s">
        <v>556</v>
      </c>
      <c r="C5" s="15" t="s">
        <v>0</v>
      </c>
      <c r="D5" s="15" t="s">
        <v>557</v>
      </c>
      <c r="E5" s="15" t="s">
        <v>558</v>
      </c>
    </row>
    <row r="6" spans="1:5" ht="18" customHeight="1">
      <c r="A6" s="15" t="s">
        <v>555</v>
      </c>
      <c r="B6" s="15" t="s">
        <v>556</v>
      </c>
      <c r="C6" s="15" t="s">
        <v>1</v>
      </c>
      <c r="D6" s="15" t="s">
        <v>559</v>
      </c>
      <c r="E6" s="15" t="s">
        <v>558</v>
      </c>
    </row>
    <row r="7" spans="1:5" ht="33" customHeight="1">
      <c r="A7" s="15" t="s">
        <v>555</v>
      </c>
      <c r="B7" s="15" t="s">
        <v>556</v>
      </c>
      <c r="C7" s="15" t="s">
        <v>2</v>
      </c>
      <c r="D7" s="15" t="s">
        <v>560</v>
      </c>
      <c r="E7" s="15" t="s">
        <v>558</v>
      </c>
    </row>
    <row r="8" spans="1:5" ht="33" customHeight="1">
      <c r="A8" s="15" t="s">
        <v>555</v>
      </c>
      <c r="B8" s="15" t="s">
        <v>556</v>
      </c>
      <c r="C8" s="15" t="s">
        <v>3</v>
      </c>
      <c r="D8" s="15" t="s">
        <v>561</v>
      </c>
      <c r="E8" s="15" t="s">
        <v>558</v>
      </c>
    </row>
    <row r="9" spans="1:5" ht="33" customHeight="1">
      <c r="A9" s="15" t="s">
        <v>555</v>
      </c>
      <c r="B9" s="15" t="s">
        <v>556</v>
      </c>
      <c r="C9" s="15" t="s">
        <v>4</v>
      </c>
      <c r="D9" s="15" t="s">
        <v>562</v>
      </c>
      <c r="E9" s="15" t="s">
        <v>558</v>
      </c>
    </row>
    <row r="10" spans="1:5" ht="18" customHeight="1">
      <c r="A10" s="15" t="s">
        <v>555</v>
      </c>
      <c r="B10" s="15" t="s">
        <v>556</v>
      </c>
      <c r="C10" s="15" t="s">
        <v>5</v>
      </c>
      <c r="D10" s="15" t="s">
        <v>563</v>
      </c>
      <c r="E10" s="15" t="s">
        <v>558</v>
      </c>
    </row>
    <row r="11" spans="1:5" ht="33" customHeight="1">
      <c r="A11" s="15" t="s">
        <v>555</v>
      </c>
      <c r="B11" s="15" t="s">
        <v>556</v>
      </c>
      <c r="C11" s="15" t="s">
        <v>6</v>
      </c>
      <c r="D11" s="15" t="s">
        <v>564</v>
      </c>
      <c r="E11" s="15" t="s">
        <v>558</v>
      </c>
    </row>
    <row r="12" spans="1:5" ht="33" customHeight="1">
      <c r="A12" s="15" t="s">
        <v>555</v>
      </c>
      <c r="B12" s="15" t="s">
        <v>556</v>
      </c>
      <c r="C12" s="15" t="s">
        <v>7</v>
      </c>
      <c r="D12" s="15" t="s">
        <v>565</v>
      </c>
      <c r="E12" s="15" t="s">
        <v>558</v>
      </c>
    </row>
    <row r="13" spans="1:5" ht="33" customHeight="1">
      <c r="A13" s="15" t="s">
        <v>555</v>
      </c>
      <c r="B13" s="15" t="s">
        <v>556</v>
      </c>
      <c r="C13" s="15" t="s">
        <v>8</v>
      </c>
      <c r="D13" s="15" t="s">
        <v>566</v>
      </c>
      <c r="E13" s="15" t="s">
        <v>567</v>
      </c>
    </row>
    <row r="14" spans="1:5" ht="18" customHeight="1">
      <c r="A14" s="15" t="s">
        <v>555</v>
      </c>
      <c r="B14" s="15" t="s">
        <v>556</v>
      </c>
      <c r="C14" s="15" t="s">
        <v>9</v>
      </c>
      <c r="D14" s="15" t="s">
        <v>568</v>
      </c>
      <c r="E14" s="15" t="s">
        <v>569</v>
      </c>
    </row>
    <row r="15" spans="1:5" ht="33" customHeight="1">
      <c r="A15" s="15" t="s">
        <v>555</v>
      </c>
      <c r="B15" s="15" t="s">
        <v>556</v>
      </c>
      <c r="C15" s="15" t="s">
        <v>10</v>
      </c>
      <c r="D15" s="15" t="s">
        <v>570</v>
      </c>
      <c r="E15" s="15" t="s">
        <v>569</v>
      </c>
    </row>
    <row r="16" spans="1:5" ht="33" customHeight="1">
      <c r="A16" s="15" t="s">
        <v>555</v>
      </c>
      <c r="B16" s="15" t="s">
        <v>556</v>
      </c>
      <c r="C16" s="15" t="s">
        <v>11</v>
      </c>
      <c r="D16" s="15" t="s">
        <v>571</v>
      </c>
      <c r="E16" s="15" t="s">
        <v>572</v>
      </c>
    </row>
    <row r="17" spans="1:5" ht="33" customHeight="1">
      <c r="A17" s="15" t="s">
        <v>555</v>
      </c>
      <c r="B17" s="15" t="s">
        <v>556</v>
      </c>
      <c r="C17" s="15" t="s">
        <v>12</v>
      </c>
      <c r="D17" s="15" t="s">
        <v>573</v>
      </c>
      <c r="E17" s="15" t="s">
        <v>572</v>
      </c>
    </row>
    <row r="18" spans="1:5" ht="33" customHeight="1">
      <c r="A18" s="15" t="s">
        <v>555</v>
      </c>
      <c r="B18" s="15" t="s">
        <v>556</v>
      </c>
      <c r="C18" s="15" t="s">
        <v>13</v>
      </c>
      <c r="D18" s="15" t="s">
        <v>574</v>
      </c>
      <c r="E18" s="15" t="s">
        <v>575</v>
      </c>
    </row>
    <row r="19" spans="1:5" ht="33" customHeight="1">
      <c r="A19" s="15" t="s">
        <v>555</v>
      </c>
      <c r="B19" s="15" t="s">
        <v>556</v>
      </c>
      <c r="C19" s="15" t="s">
        <v>14</v>
      </c>
      <c r="D19" s="15" t="s">
        <v>576</v>
      </c>
      <c r="E19" s="15" t="s">
        <v>577</v>
      </c>
    </row>
    <row r="20" spans="1:5" ht="33" customHeight="1">
      <c r="A20" s="15" t="s">
        <v>555</v>
      </c>
      <c r="B20" s="15" t="s">
        <v>556</v>
      </c>
      <c r="C20" s="15" t="s">
        <v>15</v>
      </c>
      <c r="D20" s="15" t="s">
        <v>578</v>
      </c>
      <c r="E20" s="15" t="s">
        <v>579</v>
      </c>
    </row>
    <row r="21" spans="1:5" ht="33" customHeight="1">
      <c r="A21" s="15" t="s">
        <v>555</v>
      </c>
      <c r="B21" s="15" t="s">
        <v>556</v>
      </c>
      <c r="C21" s="15" t="s">
        <v>16</v>
      </c>
      <c r="D21" s="15" t="s">
        <v>580</v>
      </c>
      <c r="E21" s="15" t="s">
        <v>569</v>
      </c>
    </row>
    <row r="22" spans="1:5" ht="48" customHeight="1">
      <c r="A22" s="15" t="s">
        <v>555</v>
      </c>
      <c r="B22" s="15" t="s">
        <v>556</v>
      </c>
      <c r="C22" s="15" t="s">
        <v>17</v>
      </c>
      <c r="D22" s="15" t="s">
        <v>581</v>
      </c>
      <c r="E22" s="15" t="s">
        <v>582</v>
      </c>
    </row>
    <row r="23" spans="1:5" ht="18" customHeight="1">
      <c r="A23" s="15" t="s">
        <v>555</v>
      </c>
      <c r="B23" s="15" t="s">
        <v>556</v>
      </c>
      <c r="C23" s="15" t="s">
        <v>18</v>
      </c>
      <c r="D23" s="15" t="s">
        <v>583</v>
      </c>
      <c r="E23" s="15" t="s">
        <v>584</v>
      </c>
    </row>
    <row r="24" spans="1:5" ht="33" customHeight="1">
      <c r="A24" s="15" t="s">
        <v>555</v>
      </c>
      <c r="B24" s="15" t="s">
        <v>556</v>
      </c>
      <c r="C24" s="15" t="s">
        <v>19</v>
      </c>
      <c r="D24" s="15" t="s">
        <v>585</v>
      </c>
      <c r="E24" s="15" t="s">
        <v>584</v>
      </c>
    </row>
    <row r="25" spans="1:5" ht="18" customHeight="1">
      <c r="A25" s="15" t="s">
        <v>555</v>
      </c>
      <c r="B25" s="15" t="s">
        <v>556</v>
      </c>
      <c r="C25" s="15" t="s">
        <v>20</v>
      </c>
      <c r="D25" s="15" t="s">
        <v>586</v>
      </c>
      <c r="E25" s="15" t="s">
        <v>558</v>
      </c>
    </row>
    <row r="26" spans="1:5" ht="33" customHeight="1">
      <c r="A26" s="15" t="s">
        <v>555</v>
      </c>
      <c r="B26" s="15" t="s">
        <v>556</v>
      </c>
      <c r="C26" s="15" t="s">
        <v>21</v>
      </c>
      <c r="D26" s="15" t="s">
        <v>587</v>
      </c>
      <c r="E26" s="15" t="s">
        <v>577</v>
      </c>
    </row>
    <row r="27" spans="1:5" ht="33" customHeight="1">
      <c r="A27" s="15" t="s">
        <v>555</v>
      </c>
      <c r="B27" s="15" t="s">
        <v>556</v>
      </c>
      <c r="C27" s="15" t="s">
        <v>22</v>
      </c>
      <c r="D27" s="15" t="s">
        <v>588</v>
      </c>
      <c r="E27" s="15" t="s">
        <v>589</v>
      </c>
    </row>
    <row r="28" spans="1:5" ht="33" customHeight="1">
      <c r="A28" s="15" t="s">
        <v>555</v>
      </c>
      <c r="B28" s="15" t="s">
        <v>556</v>
      </c>
      <c r="C28" s="15" t="s">
        <v>23</v>
      </c>
      <c r="D28" s="15" t="s">
        <v>590</v>
      </c>
      <c r="E28" s="15" t="s">
        <v>558</v>
      </c>
    </row>
    <row r="29" spans="1:5" ht="33" customHeight="1">
      <c r="A29" s="15" t="s">
        <v>591</v>
      </c>
      <c r="B29" s="15" t="s">
        <v>592</v>
      </c>
      <c r="C29" s="15" t="s">
        <v>477</v>
      </c>
      <c r="D29" s="15" t="s">
        <v>593</v>
      </c>
      <c r="E29" s="15" t="s">
        <v>558</v>
      </c>
    </row>
    <row r="30" spans="1:5" ht="33" customHeight="1">
      <c r="A30" s="15" t="s">
        <v>591</v>
      </c>
      <c r="B30" s="15" t="s">
        <v>592</v>
      </c>
      <c r="C30" s="15" t="s">
        <v>478</v>
      </c>
      <c r="D30" s="15" t="s">
        <v>594</v>
      </c>
      <c r="E30" s="15" t="s">
        <v>569</v>
      </c>
    </row>
    <row r="31" spans="1:5" ht="18" customHeight="1">
      <c r="A31" s="15" t="s">
        <v>591</v>
      </c>
      <c r="B31" s="15" t="s">
        <v>592</v>
      </c>
      <c r="C31" s="15" t="s">
        <v>10</v>
      </c>
      <c r="D31" s="15" t="s">
        <v>595</v>
      </c>
      <c r="E31" s="15" t="s">
        <v>569</v>
      </c>
    </row>
    <row r="32" spans="1:5" ht="18" customHeight="1">
      <c r="A32" s="15" t="s">
        <v>591</v>
      </c>
      <c r="B32" s="15" t="s">
        <v>592</v>
      </c>
      <c r="C32" s="15" t="s">
        <v>16</v>
      </c>
      <c r="D32" s="15" t="s">
        <v>596</v>
      </c>
      <c r="E32" s="15" t="s">
        <v>569</v>
      </c>
    </row>
    <row r="33" spans="1:5" ht="18" customHeight="1">
      <c r="A33" s="15" t="s">
        <v>591</v>
      </c>
      <c r="B33" s="15" t="s">
        <v>592</v>
      </c>
      <c r="C33" s="15" t="s">
        <v>479</v>
      </c>
      <c r="D33" s="15" t="s">
        <v>597</v>
      </c>
      <c r="E33" s="15" t="s">
        <v>598</v>
      </c>
    </row>
    <row r="34" spans="1:5" ht="33" customHeight="1">
      <c r="A34" s="15" t="s">
        <v>591</v>
      </c>
      <c r="B34" s="15" t="s">
        <v>592</v>
      </c>
      <c r="C34" s="15" t="s">
        <v>480</v>
      </c>
      <c r="D34" s="15" t="s">
        <v>599</v>
      </c>
      <c r="E34" s="15" t="s">
        <v>598</v>
      </c>
    </row>
    <row r="35" spans="1:5" ht="33" customHeight="1">
      <c r="A35" s="15" t="s">
        <v>591</v>
      </c>
      <c r="B35" s="15" t="s">
        <v>592</v>
      </c>
      <c r="C35" s="15" t="s">
        <v>481</v>
      </c>
      <c r="D35" s="15" t="s">
        <v>600</v>
      </c>
      <c r="E35" s="15" t="s">
        <v>569</v>
      </c>
    </row>
    <row r="36" spans="1:5" ht="18" customHeight="1">
      <c r="A36" s="15" t="s">
        <v>591</v>
      </c>
      <c r="B36" s="15" t="s">
        <v>592</v>
      </c>
      <c r="C36" s="15" t="s">
        <v>482</v>
      </c>
      <c r="D36" s="15" t="s">
        <v>601</v>
      </c>
      <c r="E36" s="15" t="s">
        <v>569</v>
      </c>
    </row>
    <row r="37" spans="1:5" ht="33" customHeight="1">
      <c r="A37" s="15" t="s">
        <v>591</v>
      </c>
      <c r="B37" s="15" t="s">
        <v>592</v>
      </c>
      <c r="C37" s="15" t="s">
        <v>483</v>
      </c>
      <c r="D37" s="15" t="s">
        <v>602</v>
      </c>
      <c r="E37" s="15" t="s">
        <v>603</v>
      </c>
    </row>
    <row r="38" spans="1:5" ht="18" customHeight="1">
      <c r="A38" s="15" t="s">
        <v>591</v>
      </c>
      <c r="B38" s="15" t="s">
        <v>592</v>
      </c>
      <c r="C38" s="15" t="s">
        <v>484</v>
      </c>
      <c r="D38" s="15" t="s">
        <v>604</v>
      </c>
      <c r="E38" s="15" t="s">
        <v>605</v>
      </c>
    </row>
    <row r="39" spans="1:5" ht="18" customHeight="1">
      <c r="A39" s="15" t="s">
        <v>591</v>
      </c>
      <c r="B39" s="15" t="s">
        <v>592</v>
      </c>
      <c r="C39" s="15" t="s">
        <v>485</v>
      </c>
      <c r="D39" s="15" t="s">
        <v>606</v>
      </c>
      <c r="E39" s="15" t="s">
        <v>605</v>
      </c>
    </row>
    <row r="40" spans="1:5" ht="18" customHeight="1">
      <c r="A40" s="15" t="s">
        <v>607</v>
      </c>
      <c r="B40" s="15" t="s">
        <v>608</v>
      </c>
      <c r="C40" s="15" t="s">
        <v>4</v>
      </c>
      <c r="D40" s="15" t="s">
        <v>609</v>
      </c>
      <c r="E40" s="15" t="s">
        <v>558</v>
      </c>
    </row>
    <row r="41" spans="1:5" ht="33" customHeight="1">
      <c r="A41" s="15" t="s">
        <v>607</v>
      </c>
      <c r="B41" s="15" t="s">
        <v>608</v>
      </c>
      <c r="C41" s="15" t="s">
        <v>496</v>
      </c>
      <c r="D41" s="15" t="s">
        <v>610</v>
      </c>
      <c r="E41" s="15" t="s">
        <v>603</v>
      </c>
    </row>
    <row r="42" spans="1:5" ht="33" customHeight="1">
      <c r="A42" s="15" t="s">
        <v>607</v>
      </c>
      <c r="B42" s="15" t="s">
        <v>608</v>
      </c>
      <c r="C42" s="15" t="s">
        <v>497</v>
      </c>
      <c r="D42" s="15" t="s">
        <v>611</v>
      </c>
      <c r="E42" s="15" t="s">
        <v>603</v>
      </c>
    </row>
    <row r="43" spans="1:5" ht="33" customHeight="1">
      <c r="A43" s="15" t="s">
        <v>607</v>
      </c>
      <c r="B43" s="15" t="s">
        <v>608</v>
      </c>
      <c r="C43" s="15" t="s">
        <v>498</v>
      </c>
      <c r="D43" s="15" t="s">
        <v>612</v>
      </c>
      <c r="E43" s="15" t="s">
        <v>569</v>
      </c>
    </row>
    <row r="44" spans="1:5" ht="18" customHeight="1">
      <c r="A44" s="15" t="s">
        <v>607</v>
      </c>
      <c r="B44" s="15" t="s">
        <v>608</v>
      </c>
      <c r="C44" s="15" t="s">
        <v>499</v>
      </c>
      <c r="D44" s="15" t="s">
        <v>613</v>
      </c>
      <c r="E44" s="15" t="s">
        <v>614</v>
      </c>
    </row>
    <row r="45" spans="1:5" ht="33" customHeight="1">
      <c r="A45" s="15" t="s">
        <v>607</v>
      </c>
      <c r="B45" s="15" t="s">
        <v>608</v>
      </c>
      <c r="C45" s="15" t="s">
        <v>500</v>
      </c>
      <c r="D45" s="15" t="s">
        <v>615</v>
      </c>
      <c r="E45" s="15" t="s">
        <v>558</v>
      </c>
    </row>
    <row r="46" spans="1:5" ht="18" customHeight="1">
      <c r="A46" s="15" t="s">
        <v>607</v>
      </c>
      <c r="B46" s="15" t="s">
        <v>616</v>
      </c>
      <c r="C46" s="15" t="s">
        <v>502</v>
      </c>
      <c r="D46" s="15" t="s">
        <v>617</v>
      </c>
      <c r="E46" s="15" t="s">
        <v>558</v>
      </c>
    </row>
    <row r="47" spans="1:5" ht="33" customHeight="1">
      <c r="A47" s="15" t="s">
        <v>607</v>
      </c>
      <c r="B47" s="15" t="s">
        <v>616</v>
      </c>
      <c r="C47" s="15" t="s">
        <v>503</v>
      </c>
      <c r="D47" s="15" t="s">
        <v>618</v>
      </c>
      <c r="E47" s="15" t="s">
        <v>569</v>
      </c>
    </row>
    <row r="48" spans="1:5" ht="18" customHeight="1">
      <c r="A48" s="15" t="s">
        <v>619</v>
      </c>
      <c r="B48" s="15" t="s">
        <v>620</v>
      </c>
      <c r="C48" s="15" t="s">
        <v>510</v>
      </c>
      <c r="D48" s="15" t="s">
        <v>621</v>
      </c>
      <c r="E48" s="15" t="s">
        <v>558</v>
      </c>
    </row>
    <row r="49" spans="1:5" ht="18" customHeight="1">
      <c r="A49" s="15" t="s">
        <v>619</v>
      </c>
      <c r="B49" s="15" t="s">
        <v>620</v>
      </c>
      <c r="C49" s="15" t="s">
        <v>511</v>
      </c>
      <c r="D49" s="15" t="s">
        <v>622</v>
      </c>
      <c r="E49" s="15" t="s">
        <v>558</v>
      </c>
    </row>
    <row r="50" spans="1:5" ht="18" customHeight="1">
      <c r="A50" s="15" t="s">
        <v>619</v>
      </c>
      <c r="B50" s="15" t="s">
        <v>620</v>
      </c>
      <c r="C50" s="15" t="s">
        <v>4</v>
      </c>
      <c r="D50" s="15" t="s">
        <v>623</v>
      </c>
      <c r="E50" s="15" t="s">
        <v>558</v>
      </c>
    </row>
    <row r="51" spans="1:5" ht="18" customHeight="1">
      <c r="A51" s="15" t="s">
        <v>619</v>
      </c>
      <c r="B51" s="15" t="s">
        <v>620</v>
      </c>
      <c r="C51" s="15" t="s">
        <v>5</v>
      </c>
      <c r="D51" s="15" t="s">
        <v>563</v>
      </c>
      <c r="E51" s="15" t="s">
        <v>558</v>
      </c>
    </row>
    <row r="52" spans="1:5" ht="18" customHeight="1">
      <c r="A52" s="15" t="s">
        <v>619</v>
      </c>
      <c r="B52" s="15" t="s">
        <v>620</v>
      </c>
      <c r="C52" s="15" t="s">
        <v>3</v>
      </c>
      <c r="D52" s="15" t="s">
        <v>624</v>
      </c>
      <c r="E52" s="15" t="s">
        <v>558</v>
      </c>
    </row>
    <row r="53" spans="1:5" ht="18" customHeight="1">
      <c r="A53" s="15" t="s">
        <v>619</v>
      </c>
      <c r="B53" s="15" t="s">
        <v>620</v>
      </c>
      <c r="C53" s="15" t="s">
        <v>7</v>
      </c>
      <c r="D53" s="15" t="s">
        <v>625</v>
      </c>
      <c r="E53" s="15" t="s">
        <v>558</v>
      </c>
    </row>
    <row r="54" spans="1:5" ht="33" customHeight="1">
      <c r="A54" s="15" t="s">
        <v>619</v>
      </c>
      <c r="B54" s="15" t="s">
        <v>620</v>
      </c>
      <c r="C54" s="15" t="s">
        <v>512</v>
      </c>
      <c r="D54" s="15" t="s">
        <v>626</v>
      </c>
      <c r="E54" s="15" t="s">
        <v>569</v>
      </c>
    </row>
    <row r="55" spans="1:5" ht="18" customHeight="1">
      <c r="A55" s="15" t="s">
        <v>619</v>
      </c>
      <c r="B55" s="15" t="s">
        <v>620</v>
      </c>
      <c r="C55" s="15" t="s">
        <v>513</v>
      </c>
      <c r="D55" s="15" t="s">
        <v>627</v>
      </c>
      <c r="E55" s="15" t="s">
        <v>569</v>
      </c>
    </row>
    <row r="56" spans="1:5" ht="18" customHeight="1">
      <c r="A56" s="15" t="s">
        <v>619</v>
      </c>
      <c r="B56" s="15" t="s">
        <v>620</v>
      </c>
      <c r="C56" s="15" t="s">
        <v>514</v>
      </c>
      <c r="D56" s="15" t="s">
        <v>628</v>
      </c>
      <c r="E56" s="15" t="s">
        <v>558</v>
      </c>
    </row>
    <row r="57" spans="1:5" ht="33" customHeight="1">
      <c r="A57" s="15" t="s">
        <v>619</v>
      </c>
      <c r="B57" s="15" t="s">
        <v>620</v>
      </c>
      <c r="C57" s="15" t="s">
        <v>515</v>
      </c>
      <c r="D57" s="15" t="s">
        <v>629</v>
      </c>
      <c r="E57" s="15" t="s">
        <v>630</v>
      </c>
    </row>
    <row r="58" spans="1:5" ht="18" customHeight="1">
      <c r="A58" s="15" t="s">
        <v>619</v>
      </c>
      <c r="B58" s="15" t="s">
        <v>620</v>
      </c>
      <c r="C58" s="15" t="s">
        <v>11</v>
      </c>
      <c r="D58" s="15" t="s">
        <v>631</v>
      </c>
      <c r="E58" s="15" t="s">
        <v>572</v>
      </c>
    </row>
    <row r="59" spans="1:5" ht="18" customHeight="1">
      <c r="A59" s="15" t="s">
        <v>619</v>
      </c>
      <c r="B59" s="15" t="s">
        <v>620</v>
      </c>
      <c r="C59" s="15" t="s">
        <v>15</v>
      </c>
      <c r="D59" s="15" t="s">
        <v>632</v>
      </c>
      <c r="E59" s="15" t="s">
        <v>579</v>
      </c>
    </row>
    <row r="60" spans="1:5" ht="18" customHeight="1">
      <c r="A60" s="15" t="s">
        <v>619</v>
      </c>
      <c r="B60" s="15" t="s">
        <v>620</v>
      </c>
      <c r="C60" s="15" t="s">
        <v>500</v>
      </c>
      <c r="D60" s="15" t="s">
        <v>633</v>
      </c>
      <c r="E60" s="15" t="s">
        <v>558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4A44-816E-41C0-B8EB-F18DC30412DC}">
  <dimension ref="A1:B1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110.7109375" customWidth="1"/>
  </cols>
  <sheetData>
    <row r="1" spans="1:2" ht="24" customHeight="1">
      <c r="A1" s="8" t="s">
        <v>634</v>
      </c>
      <c r="B1" s="8"/>
    </row>
    <row r="2" spans="1:2" ht="15.75">
      <c r="A2" s="16" t="s">
        <v>635</v>
      </c>
    </row>
    <row r="4" spans="1:2" ht="20.25" customHeight="1">
      <c r="A4" s="1" t="s">
        <v>636</v>
      </c>
      <c r="B4" s="1" t="s">
        <v>637</v>
      </c>
    </row>
    <row r="5" spans="1:2" ht="48" customHeight="1">
      <c r="A5" s="19" t="s">
        <v>638</v>
      </c>
      <c r="B5" s="20" t="s">
        <v>639</v>
      </c>
    </row>
    <row r="6" spans="1:2" ht="18" customHeight="1">
      <c r="A6" s="18" t="s">
        <v>640</v>
      </c>
      <c r="B6" s="17" t="s">
        <v>641</v>
      </c>
    </row>
    <row r="7" spans="1:2" ht="33" customHeight="1">
      <c r="A7" s="21" t="s">
        <v>642</v>
      </c>
      <c r="B7" s="22" t="s">
        <v>643</v>
      </c>
    </row>
    <row r="8" spans="1:2" ht="33" customHeight="1">
      <c r="A8" s="18" t="s">
        <v>555</v>
      </c>
      <c r="B8" s="17" t="s">
        <v>644</v>
      </c>
    </row>
    <row r="9" spans="1:2" ht="48" customHeight="1">
      <c r="A9" s="21" t="s">
        <v>591</v>
      </c>
      <c r="B9" s="22" t="s">
        <v>645</v>
      </c>
    </row>
    <row r="10" spans="1:2" ht="48" customHeight="1">
      <c r="A10" s="18" t="s">
        <v>607</v>
      </c>
      <c r="B10" s="17" t="s">
        <v>646</v>
      </c>
    </row>
    <row r="11" spans="1:2" ht="18" customHeight="1">
      <c r="A11" s="21" t="s">
        <v>619</v>
      </c>
      <c r="B11" s="22" t="s">
        <v>647</v>
      </c>
    </row>
    <row r="12" spans="1:2" ht="18" customHeight="1">
      <c r="A12" s="18" t="s">
        <v>648</v>
      </c>
      <c r="B12" s="17" t="s">
        <v>649</v>
      </c>
    </row>
    <row r="13" spans="1:2" ht="18" customHeight="1">
      <c r="A13" s="23" t="s">
        <v>650</v>
      </c>
      <c r="B13" s="24" t="s">
        <v>651</v>
      </c>
    </row>
  </sheetData>
  <mergeCells count="1">
    <mergeCell ref="A1: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fbde396-1a24-4c79-8edf-9254a0f35055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i:0#.f|membership|sarahallali@microsoft.com</cp:lastModifiedBy>
  <cp:revision/>
  <dcterms:created xsi:type="dcterms:W3CDTF">2026-10-03T13:31:56Z</dcterms:created>
  <dcterms:modified xsi:type="dcterms:W3CDTF">2026-10-03T13:40:36Z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